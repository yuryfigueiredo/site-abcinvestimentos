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ece Aqui" state="visible" r:id="rId4"/>
    <sheet sheetId="2" name="Configuração" state="visible" r:id="rId5"/>
    <sheet sheetId="3" name="Lançamentos" state="visible" r:id="rId6"/>
    <sheet sheetId="4" name="Painel do Mês" state="visible" r:id="rId7"/>
    <sheet sheetId="5" name="Ano (12 Meses)" state="visible" r:id="rId8"/>
    <sheet sheetId="6" name="Reserva de Emergência" state="visible" r:id="rId9"/>
    <sheet sheetId="7" name="Metas Financeiras" state="visible" r:id="rId10"/>
    <sheet sheetId="8" name="Rumo ao 1º Milhão" state="visible" r:id="rId11"/>
  </sheets>
  <calcPr calcId="171027" fullCalcOnLoad="1"/>
</workbook>
</file>

<file path=xl/sharedStrings.xml><?xml version="1.0" encoding="utf-8"?>
<sst xmlns="http://schemas.openxmlformats.org/spreadsheetml/2006/main" count="282" uniqueCount="214">
  <si>
    <t>ABC INVESTIMENTOS — PLANILHA OFICIAL 50/30/20 &amp; RUMO AO 1º MILHÃO</t>
  </si>
  <si>
    <t>Guia Rápido de Boas-Vindas • 100% Compatível com Excel, Google Sheets e LibreOffice (Zero Macros)</t>
  </si>
  <si>
    <t/>
  </si>
  <si>
    <t>Etapa</t>
  </si>
  <si>
    <t>Aba da Planilha</t>
  </si>
  <si>
    <t>O que fazer / Como funciona</t>
  </si>
  <si>
    <t>Tempo / Tipo</t>
  </si>
  <si>
    <t>PASSO 1</t>
  </si>
  <si>
    <t>Configuração</t>
  </si>
  <si>
    <t>Defina sua Renda Líquida Mensal Alvo, sua divisão ideal 50/30/20 e as taxas atuais (Selic, CDI e IPCA).</t>
  </si>
  <si>
    <t>Leva 2 minutos</t>
  </si>
  <si>
    <t>PASSO 2</t>
  </si>
  <si>
    <t>Lançamentos</t>
  </si>
  <si>
    <t>Registre suas receitas, gastos essenciais, gastos de estilo de vida e aportes usando os menus suspensos.</t>
  </si>
  <si>
    <t>Uso diário/semanal</t>
  </si>
  <si>
    <t>PASSO 3</t>
  </si>
  <si>
    <t>Painel do Mês</t>
  </si>
  <si>
    <t>Acompanhe o termômetro 50/30/20 automático: veja quanto já consumiu de cada grupo e se está na meta.</t>
  </si>
  <si>
    <t>Automático (SUMIFS)</t>
  </si>
  <si>
    <t>PASSO 4</t>
  </si>
  <si>
    <t>Ano (12 Meses)</t>
  </si>
  <si>
    <t>Compare Janeiro a Dezembro lado a lado, identifique meses caros e veja sua taxa de aporte anual.</t>
  </si>
  <si>
    <t>Automático</t>
  </si>
  <si>
    <t>PASSO 5</t>
  </si>
  <si>
    <t>Reserva de Emergência</t>
  </si>
  <si>
    <t>Descubra sua meta exata de segurança (3, 6 ou 12 meses) e quantos meses faltam para atingir 100%.</t>
  </si>
  <si>
    <t>Automático + Saldo</t>
  </si>
  <si>
    <t>PASSO 6</t>
  </si>
  <si>
    <t>Metas Financeiras</t>
  </si>
  <si>
    <t>Planeje objetivos específicos (viagem, carro, entrada de imóvel, estudos) com cálculo do aporte mensal.</t>
  </si>
  <si>
    <t>Até 10 metas</t>
  </si>
  <si>
    <t>PASSO 7</t>
  </si>
  <si>
    <t>Rumo ao 1º Milhão</t>
  </si>
  <si>
    <t>Simule sua evolução ano a ano (Patrimônio Nominal vs. Poder de Compra Real descontando IPCA).</t>
  </si>
  <si>
    <t>Projeção 30 anos</t>
  </si>
  <si>
    <t>Código de Cores</t>
  </si>
  <si>
    <t>Significado Visual</t>
  </si>
  <si>
    <t>Regra de Edição</t>
  </si>
  <si>
    <t>Proteção</t>
  </si>
  <si>
    <t>Célula Verde-Clara</t>
  </si>
  <si>
    <t>Campo de Entrada (Onde você digita seus números)</t>
  </si>
  <si>
    <t>Pode editar livremente</t>
  </si>
  <si>
    <t>Desbloqueada</t>
  </si>
  <si>
    <t>Célula Cinza-Clara</t>
  </si>
  <si>
    <t>Cálculo Automático (Fórmula integrada)</t>
  </si>
  <si>
    <t>Não apague (calcula sozinha)</t>
  </si>
  <si>
    <t>Protegida (sem senha)</t>
  </si>
  <si>
    <t>CONFIGURAÇÃO PESSOAL &amp; PARÂMETROS ECONÔMICOS (50 / 30 / 20)</t>
  </si>
  <si>
    <t>Edite apenas as células verdes-claras • Todas as outras abas utilizam estes valores automaticamente</t>
  </si>
  <si>
    <t>Parâmetro Principal</t>
  </si>
  <si>
    <t>Valor Atual</t>
  </si>
  <si>
    <t>Explicação Prática</t>
  </si>
  <si>
    <t>Categorias Padrão</t>
  </si>
  <si>
    <t>Subgrupo 50/30/20</t>
  </si>
  <si>
    <t>Ano Base do Orçamento</t>
  </si>
  <si>
    <t>Ano de referência dos lançamentos</t>
  </si>
  <si>
    <t>Salário / Pró-labore</t>
  </si>
  <si>
    <t>Receita</t>
  </si>
  <si>
    <t>Renda Líquida Mensal Alvo (R$)</t>
  </si>
  <si>
    <t>Sua renda líquida mensal média esperada</t>
  </si>
  <si>
    <t>Renda Extra / Freelance</t>
  </si>
  <si>
    <t>Meta % — Custos Essenciais (50%)</t>
  </si>
  <si>
    <t>Moradia, mercado, saúde, transporte, contas básicas</t>
  </si>
  <si>
    <t>Dividendos / Rendimentos</t>
  </si>
  <si>
    <t>Meta % — Estilo de Vida / Desejos (30%)</t>
  </si>
  <si>
    <t>Lazer, restaurantes, streaming, compras pessoais</t>
  </si>
  <si>
    <t>Moradia (Aluguel/Condomínio)</t>
  </si>
  <si>
    <t>Essencial (50%)</t>
  </si>
  <si>
    <t>Meta % — Aportes &amp; Liberdade (20%)</t>
  </si>
  <si>
    <t>Investimentos mensais + Reserva de Emergência</t>
  </si>
  <si>
    <t>Supermercado &amp; Feira</t>
  </si>
  <si>
    <t>Soma das Metas (%) — Deve ser 100%</t>
  </si>
  <si>
    <t>Verificação automática (50% + 30% + 20% = 100%)</t>
  </si>
  <si>
    <t>Saúde, Farmácia &amp; Plano</t>
  </si>
  <si>
    <t>Taxa Anual Esperada da Carteira (% a.a.)</t>
  </si>
  <si>
    <t>Rentabilidade nominal anual estimada (ex.: 12% a.a.)</t>
  </si>
  <si>
    <t>Transporte / Combustível</t>
  </si>
  <si>
    <t>Inflação Anual Estimada — IPCA (% a.a.)</t>
  </si>
  <si>
    <t>Inflação média para cálculo de Poder de Compra Real</t>
  </si>
  <si>
    <t>Contas (Luz, Água, Internet)</t>
  </si>
  <si>
    <t>Taxa Real Anual Acima da Inflação (% a.a.)</t>
  </si>
  <si>
    <t>Fórmula exata de Fisher: (1+Nominal)/(1+IPCA) - 1</t>
  </si>
  <si>
    <t>Educação &amp; Cursos</t>
  </si>
  <si>
    <t>Regra de Retirada Segura Anual (SWR %)</t>
  </si>
  <si>
    <t>Percentual anual para cálculo de Renda Passiva Mensal</t>
  </si>
  <si>
    <t>Restaurantes &amp; Delivery</t>
  </si>
  <si>
    <t>Estilo de Vida (30%)</t>
  </si>
  <si>
    <t>Meses de Segurança — Reserva de Emergência</t>
  </si>
  <si>
    <t>Recomendado: 3 (Servidor), 6 (CLT) ou 12 (Autônomo/PJ)</t>
  </si>
  <si>
    <t>Lazer, Viagens &amp; Passeios</t>
  </si>
  <si>
    <t>Patrimônio Inicial Já Investido (R$)</t>
  </si>
  <si>
    <t>Quanto você já possui acumulado hoje para o 1º Milhão</t>
  </si>
  <si>
    <t>Assinaturas &amp; Streaming</t>
  </si>
  <si>
    <t>Aporte Mensal Planejado Rumo ao Milhão (R$)</t>
  </si>
  <si>
    <t>Calculado automaticamente (Renda Alvo × % Aportes)</t>
  </si>
  <si>
    <t>Compras Pessoais &amp; Vestuário</t>
  </si>
  <si>
    <t>Meta do 1º Milhão (R$)</t>
  </si>
  <si>
    <t>Valor-alvo da aba Rumo ao 1º Milhão</t>
  </si>
  <si>
    <t>Aporte Tesouro / Renda Fixa</t>
  </si>
  <si>
    <t>Aportes (20%)</t>
  </si>
  <si>
    <t>Status da Configuração</t>
  </si>
  <si>
    <t>Confirma se os 3 grupos somam exatamente 100%</t>
  </si>
  <si>
    <t>Aporte Ações / FIIs / ETFs</t>
  </si>
  <si>
    <t>REGISTRO DE LANÇAMENTOS MENSAIS (RECEITAS, DESPESAS E APORTES)</t>
  </si>
  <si>
    <t>Preencha Data, Grupo, Categoria, Descrição, Meio e Valor • A coluna Mês (B) calcula sozinha e alimenta os Painéis</t>
  </si>
  <si>
    <t>Data</t>
  </si>
  <si>
    <t>Mês (Auto)</t>
  </si>
  <si>
    <t>Grupo 50/30/20</t>
  </si>
  <si>
    <t>Categoria</t>
  </si>
  <si>
    <t>Descrição do Lançamento</t>
  </si>
  <si>
    <t>Conta / Meio</t>
  </si>
  <si>
    <t>Valor (R$)</t>
  </si>
  <si>
    <t>Status</t>
  </si>
  <si>
    <t>Salário Mensal Líquido</t>
  </si>
  <si>
    <t>PIX / Conta</t>
  </si>
  <si>
    <t>Pago</t>
  </si>
  <si>
    <t>Aluguel + Condomínio</t>
  </si>
  <si>
    <t>Boleto</t>
  </si>
  <si>
    <t>Compras do Mês Atacadista</t>
  </si>
  <si>
    <t>Cartão Crédito</t>
  </si>
  <si>
    <t>Energia + Fibra Óptica</t>
  </si>
  <si>
    <t>Débito Automático</t>
  </si>
  <si>
    <t>Jantar de fim de semana</t>
  </si>
  <si>
    <t>Streaming + Academia</t>
  </si>
  <si>
    <t>Aporte Tesouro Selic Reserva</t>
  </si>
  <si>
    <t>Corretora</t>
  </si>
  <si>
    <t>Compra de FIIs e Ações Dividendos</t>
  </si>
  <si>
    <t>PAINEL EXECUTIVO DO MÊS — TERMÔMETRO 50 / 30 / 20</t>
  </si>
  <si>
    <t>Selecione o número do mês (1 a 12) na célula B4 • Todos os indicadores abaixo são calculados automaticamente</t>
  </si>
  <si>
    <t>Mês Selecionado para Análise (1 a 12):</t>
  </si>
  <si>
    <t>Receita Realizada no Mês:</t>
  </si>
  <si>
    <t>Saldo Livre em Caixa:</t>
  </si>
  <si>
    <t>Bloco do Método 50/30/20</t>
  </si>
  <si>
    <t>Meta Orçada (R$)</t>
  </si>
  <si>
    <t>Valor Realizado (R$)</t>
  </si>
  <si>
    <t>% da Receita Real</t>
  </si>
  <si>
    <t>Diferença (R$)</t>
  </si>
  <si>
    <t>Diagnóstico Automático</t>
  </si>
  <si>
    <t>TOTAL ALOCADO NO MÊS</t>
  </si>
  <si>
    <t>VISÃO CONSOLIDADA ANUAL (JANEIRO A DEZEMBRO) + MÉDIA E ACUMULADO</t>
  </si>
  <si>
    <t>Todos os meses são preenchidos automaticamente a partir da aba Lançamentos</t>
  </si>
  <si>
    <t>Nº do Mês</t>
  </si>
  <si>
    <t>Acumulado</t>
  </si>
  <si>
    <t>Média</t>
  </si>
  <si>
    <t>Grupo / Indicador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</si>
  <si>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</si>
  <si>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</si>
  <si>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</si>
  <si>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</si>
  <si>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</si>
  <si>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</si>
  <si>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</si>
  <si>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</si>
  <si>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</si>
  <si>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</si>
  <si>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</si>
  <si>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</si>
  <si>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Ano</t>
  </si>
  <si>
    <t>Média Mensal</t>
  </si>
  <si>
    <t>Saldo Livre de Caixa (R$)</t>
  </si>
  <si>
    <t>Taxa de Aporte Mensal (%)</t>
  </si>
  <si>
    <t>CALCULADORA &amp; RASTREADOR DA RESERVA DE EMERGÊNCIA</t>
  </si>
  <si>
    <t>Dimensione seu colchão de segurança em Tesouro Selic ou CDB 100% CDI com liquidez diária</t>
  </si>
  <si>
    <t>Indicador da Reserva de Emergência</t>
  </si>
  <si>
    <t>Valor / Resultado</t>
  </si>
  <si>
    <t>Orientação Técnica</t>
  </si>
  <si>
    <t>Seu Custo Mensal Essencial Médio (R$)</t>
  </si>
  <si>
    <t>Soma de moradia, alimentação, saúde, transporte e contas fixas</t>
  </si>
  <si>
    <t>Meses de Segurança Recomendados</t>
  </si>
  <si>
    <t>Puxado da aba Configuração (3 = Servidor, 6 = CLT, 12 = Autônomo/PJ)</t>
  </si>
  <si>
    <t>META TOTAL DA SUA RESERVA (R$)</t>
  </si>
  <si>
    <t>Valor total que traz paz de espírito para sua família</t>
  </si>
  <si>
    <t>Saldo Atual Já Guardado na Reserva (R$)</t>
  </si>
  <si>
    <t>Some apenas aplicações de Liquidez Diária (Tesouro Selic / CDB 100% CDI)</t>
  </si>
  <si>
    <t>Percentual Concluído da Reserva (%)</t>
  </si>
  <si>
    <t>Progresso rumo a 100% da sua Reserva de Emergência</t>
  </si>
  <si>
    <t>Valor que Ainda Falta Acumular (R$)</t>
  </si>
  <si>
    <t>Diferença entre a Meta Total e o Saldo Atual</t>
  </si>
  <si>
    <t>Aporte Mensal Dedicado à Reserva (R$)</t>
  </si>
  <si>
    <t>Quanto você vai destinar por mês até completar a Reserva</t>
  </si>
  <si>
    <t>Meses Estimados para Concluir 100%</t>
  </si>
  <si>
    <t>Tempo aproximado (sem contar os juros compostos do Tesouro Selic a seu favor)</t>
  </si>
  <si>
    <t>Status da Reserva de Segurança</t>
  </si>
  <si>
    <t>Complete a Reserva antes de investir em renda variável</t>
  </si>
  <si>
    <t>PLANEJADOR DE METAS FINANCEIRAS (CURTO E MÉDIO PRAZO)</t>
  </si>
  <si>
    <t>Planeje viagens, troca de veículo, entrada de imóvel ou equipamentos sem entrar em financiamentos caros</t>
  </si>
  <si>
    <t>Nome do Objetivo / Meta</t>
  </si>
  <si>
    <t>Prioridade</t>
  </si>
  <si>
    <t>Valor-Alvo (R$)</t>
  </si>
  <si>
    <t>Valor Já Guardado (R$)</t>
  </si>
  <si>
    <t>Prazo (Meses)</t>
  </si>
  <si>
    <t>Falta Acumular (R$)</t>
  </si>
  <si>
    <t>% Concluído</t>
  </si>
  <si>
    <t>Aporte Mensal Necessário</t>
  </si>
  <si>
    <t>Viagem de Férias em Família</t>
  </si>
  <si>
    <t>Alta</t>
  </si>
  <si>
    <t>Troca de Notebook / Setup Trabalho</t>
  </si>
  <si>
    <t>Entrada Apartamento / Amortização</t>
  </si>
  <si>
    <t>Fundo Anual IPVA + IPTU + Seguros</t>
  </si>
  <si>
    <t>Pós-Graduação / Certificação</t>
  </si>
  <si>
    <t>SIMULADOR DE INDEPENDÊNCIA FINANCEIRA — RUMO AO 1º MILHÃO (30 ANOS)</t>
  </si>
  <si>
    <t>Projeção anual baseada no Patrimônio Inicial, Aporte Mensal e Taxas definidas na aba Configuração</t>
  </si>
  <si>
    <t>Inicial:</t>
  </si>
  <si>
    <t>Aporte Mensal:</t>
  </si>
  <si>
    <t>Taxa Nominal a.a.:</t>
  </si>
  <si>
    <t>Taxa Real (pós-IPCA):</t>
  </si>
  <si>
    <t>Ano #</t>
  </si>
  <si>
    <t>Ano Civil</t>
  </si>
  <si>
    <t>Total Investido do Bolso</t>
  </si>
  <si>
    <t>Patrimônio Nominal (R$)</t>
  </si>
  <si>
    <t>Juros Acumulados (R$)</t>
  </si>
  <si>
    <t>Patrimônio Real (Pós-IPCA)</t>
  </si>
  <si>
    <t>Renda Passiva Mensal</t>
  </si>
  <si>
    <t>Status da Meta (R$ 1M)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</si>
</sst>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R$&quot; #,##0.00;(&quot;R$&quot; #,##0.00);&quot;-&quot;"/>
    <numFmt numFmtId="165" formatCode="0.0%"/>
    <numFmt numFmtId="166" formatCode="dd/mm/yyyy"/>
    <numFmt numFmtId="167" formatCode="0.0"/>
  </numFmts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i/>
      <color rgb="FFD1FAE5"/>
      <sz val="9.5"/>
      <name val="Segoe UI"/>
    </font>
    <font>
      <b/>
      <color rgb="FFFFFFFF"/>
      <sz val="10"/>
      <name val="Segoe UI"/>
    </font>
    <font>
      <b/>
      <color rgb="FF0F172A"/>
      <sz val="10"/>
      <name val="Segoe UI"/>
    </font>
    <font>
      <color rgb="FF0F172A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64E3B"/>
      </patternFill>
    </fill>
    <fill>
      <patternFill patternType="solid">
        <fgColor rgb="FF047857"/>
      </patternFill>
    </fill>
    <fill>
      <patternFill patternType="solid">
        <fgColor rgb="FFF8FAFC"/>
      </patternFill>
    </fill>
    <fill>
      <patternFill patternType="solid">
        <fgColor rgb="FFECFDF5"/>
      </patternFill>
    </fill>
  </fills>
  <borders count="4">
    <border>
      <left/>
      <right/>
      <top/>
      <bottom/>
      <diagonal/>
    </border>
    <border>
      <left style="thin">
        <color rgb="FF047857"/>
      </left>
      <right style="thin">
        <color rgb="FF047857"/>
      </right>
      <top style="thin">
        <color rgb="FF047857"/>
      </top>
      <bottom style="medium">
        <color rgb="FF10B98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6EE7B7"/>
      </left>
      <right style="thin">
        <color rgb="FF6EE7B7"/>
      </right>
      <top style="thin">
        <color rgb="FF6EE7B7"/>
      </top>
      <bottom style="thin">
        <color rgb="FF6EE7B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2" borderId="1" xfId="0" applyFont="1" applyFill="1" applyBorder="1" applyAlignment="1" applyProtection="1">
      <alignment horizontal="center" vertical="center" wrapText="1"/>
    </xf>
    <xf numFmtId="0" fontId="4" fillId="4" borderId="2" xfId="0" applyFont="1" applyFill="1" applyBorder="1" applyAlignment="1" applyProtection="1">
      <alignment horizontal="center" vertical="center"/>
    </xf>
    <xf numFmtId="0" fontId="4" fillId="4" borderId="2" xfId="0" applyFont="1" applyFill="1" applyBorder="1" applyAlignment="1" applyProtection="1">
      <alignment horizontal="left" vertical="center"/>
    </xf>
    <xf numFmtId="0" fontId="5" fillId="4" borderId="2" xfId="0" applyFont="1" applyFill="1" applyBorder="1" applyAlignment="1" applyProtection="1">
      <alignment horizontal="left" vertical="center"/>
    </xf>
    <xf numFmtId="0" fontId="5" fillId="4" borderId="2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 wrapText="1"/>
    </xf>
    <xf numFmtId="0" fontId="5" fillId="5" borderId="3" xfId="0" applyFont="1" applyFill="1" applyBorder="1" applyAlignment="1" applyProtection="1">
      <alignment horizontal="center" vertical="center"/>
      <protection locked="0"/>
    </xf>
    <xf numFmtId="3" fontId="5" fillId="5" borderId="3" xfId="0" applyNumberFormat="1" applyFont="1" applyFill="1" applyBorder="1" applyAlignment="1" applyProtection="1">
      <alignment horizontal="right" vertical="center"/>
      <protection locked="0"/>
    </xf>
    <xf numFmtId="164" fontId="5" fillId="5" borderId="3" xfId="0" applyNumberFormat="1" applyFont="1" applyFill="1" applyBorder="1" applyAlignment="1" applyProtection="1">
      <alignment horizontal="right" vertical="center"/>
      <protection locked="0"/>
    </xf>
    <xf numFmtId="165" fontId="5" fillId="5" borderId="3" xfId="0" applyNumberFormat="1" applyFont="1" applyFill="1" applyBorder="1" applyAlignment="1" applyProtection="1">
      <alignment horizontal="right" vertical="center"/>
      <protection locked="0"/>
    </xf>
    <xf numFmtId="165" fontId="4" fillId="4" borderId="2" xfId="0" applyNumberFormat="1" applyFont="1" applyFill="1" applyBorder="1" applyAlignment="1" applyProtection="1">
      <alignment horizontal="right" vertical="center"/>
    </xf>
    <xf numFmtId="164" fontId="4" fillId="4" borderId="2" xfId="0" applyNumberFormat="1" applyFont="1" applyFill="1" applyBorder="1" applyAlignment="1" applyProtection="1">
      <alignment horizontal="right" vertical="center"/>
    </xf>
    <xf numFmtId="0" fontId="4" fillId="4" borderId="2" xfId="0" applyFont="1" applyFill="1" applyBorder="1" applyAlignment="1" applyProtection="1">
      <alignment horizontal="right" vertical="center"/>
    </xf>
    <xf numFmtId="166" fontId="5" fillId="5" borderId="3" xfId="0" applyNumberFormat="1" applyFont="1" applyFill="1" applyBorder="1" applyAlignment="1" applyProtection="1">
      <alignment horizontal="center" vertical="center"/>
      <protection locked="0"/>
    </xf>
    <xf numFmtId="3" fontId="4" fillId="4" borderId="2" xfId="0" applyNumberFormat="1" applyFont="1" applyFill="1" applyBorder="1" applyAlignment="1" applyProtection="1">
      <alignment horizontal="center" vertical="center"/>
    </xf>
    <xf numFmtId="0" fontId="5" fillId="5" borderId="3" xfId="0" applyFont="1" applyFill="1" applyBorder="1" applyAlignment="1" applyProtection="1">
      <alignment horizontal="left" vertical="center"/>
      <protection locked="0"/>
    </xf>
    <xf numFmtId="3" fontId="5" fillId="5" borderId="3" xfId="0" applyNumberFormat="1" applyFont="1" applyFill="1" applyBorder="1" applyAlignment="1" applyProtection="1">
      <alignment horizontal="center" vertical="center"/>
      <protection locked="0"/>
    </xf>
    <xf numFmtId="164" fontId="5" fillId="4" borderId="2" xfId="0" applyNumberFormat="1" applyFont="1" applyFill="1" applyBorder="1" applyAlignment="1" applyProtection="1">
      <alignment horizontal="right" vertical="center"/>
    </xf>
    <xf numFmtId="165" fontId="5" fillId="4" borderId="2" xfId="0" applyNumberFormat="1" applyFont="1" applyFill="1" applyBorder="1" applyAlignment="1" applyProtection="1">
      <alignment horizontal="right" vertical="center"/>
    </xf>
    <xf numFmtId="3" fontId="5" fillId="4" borderId="2" xfId="0" applyNumberFormat="1" applyFont="1" applyFill="1" applyBorder="1" applyAlignment="1" applyProtection="1">
      <alignment horizontal="center" vertical="center"/>
    </xf>
    <xf numFmtId="3" fontId="4" fillId="4" borderId="2" xfId="0" applyNumberFormat="1" applyFont="1" applyFill="1" applyBorder="1" applyAlignment="1" applyProtection="1">
      <alignment horizontal="right" vertical="center"/>
    </xf>
    <xf numFmtId="167" fontId="4" fillId="4" borderId="2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E16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4" customWidth="1"/>
    <col min="3" max="3" width="52" customWidth="1"/>
    <col min="4" max="4" width="32" customWidth="1"/>
    <col min="5" max="5" width="22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22" customHeight="1" spans="1:5" x14ac:dyDescent="0.25">
      <c r="A2" s="2" t="s">
        <v>1</v>
      </c>
      <c r="B2" s="2"/>
      <c r="C2" s="2"/>
      <c r="D2" s="2"/>
      <c r="E2" s="2"/>
    </row>
    <row r="4" ht="26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24" customHeight="1" spans="1:5" x14ac:dyDescent="0.25">
      <c r="A5" t="s">
        <v>2</v>
      </c>
      <c r="B5" s="4" t="s">
        <v>7</v>
      </c>
      <c r="C5" s="5" t="s">
        <v>8</v>
      </c>
      <c r="D5" s="6" t="s">
        <v>9</v>
      </c>
      <c r="E5" s="7" t="s">
        <v>10</v>
      </c>
    </row>
    <row r="6" ht="24" customHeight="1" spans="1:5" x14ac:dyDescent="0.25">
      <c r="A6" t="s">
        <v>2</v>
      </c>
      <c r="B6" s="4" t="s">
        <v>11</v>
      </c>
      <c r="C6" s="5" t="s">
        <v>12</v>
      </c>
      <c r="D6" s="6" t="s">
        <v>13</v>
      </c>
      <c r="E6" s="7" t="s">
        <v>14</v>
      </c>
    </row>
    <row r="7" ht="24" customHeight="1" spans="1:5" x14ac:dyDescent="0.25">
      <c r="A7" t="s">
        <v>2</v>
      </c>
      <c r="B7" s="4" t="s">
        <v>15</v>
      </c>
      <c r="C7" s="5" t="s">
        <v>16</v>
      </c>
      <c r="D7" s="6" t="s">
        <v>17</v>
      </c>
      <c r="E7" s="7" t="s">
        <v>18</v>
      </c>
    </row>
    <row r="8" ht="24" customHeight="1" spans="1:5" x14ac:dyDescent="0.25">
      <c r="A8" t="s">
        <v>2</v>
      </c>
      <c r="B8" s="4" t="s">
        <v>19</v>
      </c>
      <c r="C8" s="5" t="s">
        <v>20</v>
      </c>
      <c r="D8" s="6" t="s">
        <v>21</v>
      </c>
      <c r="E8" s="7" t="s">
        <v>22</v>
      </c>
    </row>
    <row r="9" ht="24" customHeight="1" spans="1:5" x14ac:dyDescent="0.25">
      <c r="A9" t="s">
        <v>2</v>
      </c>
      <c r="B9" s="4" t="s">
        <v>23</v>
      </c>
      <c r="C9" s="5" t="s">
        <v>24</v>
      </c>
      <c r="D9" s="6" t="s">
        <v>25</v>
      </c>
      <c r="E9" s="7" t="s">
        <v>26</v>
      </c>
    </row>
    <row r="10" ht="24" customHeight="1" spans="1:5" x14ac:dyDescent="0.25">
      <c r="A10" t="s">
        <v>2</v>
      </c>
      <c r="B10" s="4" t="s">
        <v>27</v>
      </c>
      <c r="C10" s="5" t="s">
        <v>28</v>
      </c>
      <c r="D10" s="6" t="s">
        <v>29</v>
      </c>
      <c r="E10" s="7" t="s">
        <v>30</v>
      </c>
    </row>
    <row r="11" ht="24" customHeight="1" spans="1:5" x14ac:dyDescent="0.25">
      <c r="A11" t="s">
        <v>2</v>
      </c>
      <c r="B11" s="4" t="s">
        <v>31</v>
      </c>
      <c r="C11" s="5" t="s">
        <v>32</v>
      </c>
      <c r="D11" s="6" t="s">
        <v>33</v>
      </c>
      <c r="E11" s="7" t="s">
        <v>34</v>
      </c>
    </row>
    <row r="14" ht="26" customHeight="1" spans="1:5" x14ac:dyDescent="0.25">
      <c r="A14" s="8" t="s">
        <v>2</v>
      </c>
      <c r="B14" s="8" t="s">
        <v>35</v>
      </c>
      <c r="C14" s="8" t="s">
        <v>36</v>
      </c>
      <c r="D14" s="8" t="s">
        <v>37</v>
      </c>
      <c r="E14" s="8" t="s">
        <v>38</v>
      </c>
    </row>
    <row r="15" ht="24" customHeight="1" spans="1:5" x14ac:dyDescent="0.25">
      <c r="A15" t="s">
        <v>2</v>
      </c>
      <c r="B15" s="9" t="s">
        <v>39</v>
      </c>
      <c r="C15" s="6" t="s">
        <v>40</v>
      </c>
      <c r="D15" s="6" t="s">
        <v>41</v>
      </c>
      <c r="E15" s="7" t="s">
        <v>42</v>
      </c>
    </row>
    <row r="16" ht="24" customHeight="1" spans="1:5" x14ac:dyDescent="0.25">
      <c r="A16" t="s">
        <v>2</v>
      </c>
      <c r="B16" s="4" t="s">
        <v>43</v>
      </c>
      <c r="C16" s="6" t="s">
        <v>44</v>
      </c>
      <c r="D16" s="6" t="s">
        <v>45</v>
      </c>
      <c r="E16" s="7" t="s">
        <v>46</v>
      </c>
    </row>
  </sheetData>
  <sheetProtection sheet="1" formatColumns="0" formatRows="0" autoFilter="0"/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47857"/>
  </sheetPr>
  <dimension ref="A1:E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0" customWidth="1"/>
    <col min="3" max="3" width="42" customWidth="1"/>
    <col min="4" max="5" width="24" customWidth="1"/>
  </cols>
  <sheetData>
    <row r="1" ht="32" customHeight="1" spans="1:5" x14ac:dyDescent="0.25">
      <c r="A1" s="1" t="s">
        <v>47</v>
      </c>
      <c r="B1" s="1"/>
      <c r="C1" s="1"/>
      <c r="D1" s="1"/>
      <c r="E1" s="1"/>
    </row>
    <row r="2" ht="22" customHeight="1" spans="1:5" x14ac:dyDescent="0.25">
      <c r="A2" s="2" t="s">
        <v>48</v>
      </c>
      <c r="B2" s="2"/>
      <c r="C2" s="2"/>
      <c r="D2" s="2"/>
      <c r="E2" s="2"/>
    </row>
    <row r="4" ht="26" customHeight="1" spans="1:5" x14ac:dyDescent="0.25">
      <c r="A4" s="3" t="s">
        <v>49</v>
      </c>
      <c r="B4" s="3" t="s">
        <v>50</v>
      </c>
      <c r="C4" s="3" t="s">
        <v>51</v>
      </c>
      <c r="D4" s="3" t="s">
        <v>52</v>
      </c>
      <c r="E4" s="3" t="s">
        <v>53</v>
      </c>
    </row>
    <row r="5" ht="22" customHeight="1" spans="1:5" x14ac:dyDescent="0.25">
      <c r="A5" s="5" t="s">
        <v>54</v>
      </c>
      <c r="B5" s="10">
        <v>2026</v>
      </c>
      <c r="C5" s="6" t="s">
        <v>55</v>
      </c>
      <c r="D5" s="6" t="s">
        <v>56</v>
      </c>
      <c r="E5" s="7" t="s">
        <v>57</v>
      </c>
    </row>
    <row r="6" ht="22" customHeight="1" spans="1:5" x14ac:dyDescent="0.25">
      <c r="A6" s="5" t="s">
        <v>58</v>
      </c>
      <c r="B6" s="11">
        <v>8500</v>
      </c>
      <c r="C6" s="6" t="s">
        <v>59</v>
      </c>
      <c r="D6" s="6" t="s">
        <v>60</v>
      </c>
      <c r="E6" s="7" t="s">
        <v>57</v>
      </c>
    </row>
    <row r="7" ht="22" customHeight="1" spans="1:5" x14ac:dyDescent="0.25">
      <c r="A7" s="5" t="s">
        <v>61</v>
      </c>
      <c r="B7" s="12">
        <v>0.5</v>
      </c>
      <c r="C7" s="6" t="s">
        <v>62</v>
      </c>
      <c r="D7" s="6" t="s">
        <v>63</v>
      </c>
      <c r="E7" s="7" t="s">
        <v>57</v>
      </c>
    </row>
    <row r="8" ht="22" customHeight="1" spans="1:5" x14ac:dyDescent="0.25">
      <c r="A8" s="5" t="s">
        <v>64</v>
      </c>
      <c r="B8" s="12">
        <v>0.3</v>
      </c>
      <c r="C8" s="6" t="s">
        <v>65</v>
      </c>
      <c r="D8" s="6" t="s">
        <v>66</v>
      </c>
      <c r="E8" s="7" t="s">
        <v>67</v>
      </c>
    </row>
    <row r="9" ht="22" customHeight="1" spans="1:5" x14ac:dyDescent="0.25">
      <c r="A9" s="5" t="s">
        <v>68</v>
      </c>
      <c r="B9" s="12">
        <v>0.2</v>
      </c>
      <c r="C9" s="6" t="s">
        <v>69</v>
      </c>
      <c r="D9" s="6" t="s">
        <v>70</v>
      </c>
      <c r="E9" s="7" t="s">
        <v>67</v>
      </c>
    </row>
    <row r="10" ht="22" customHeight="1" spans="1:5" x14ac:dyDescent="0.25">
      <c r="A10" s="5" t="s">
        <v>71</v>
      </c>
      <c r="B10" s="13">
        <f>SUM(B7:B9)</f>
        <v>1</v>
      </c>
      <c r="C10" s="6" t="s">
        <v>72</v>
      </c>
      <c r="D10" s="6" t="s">
        <v>73</v>
      </c>
      <c r="E10" s="7" t="s">
        <v>67</v>
      </c>
    </row>
    <row r="11" ht="22" customHeight="1" spans="1:5" x14ac:dyDescent="0.25">
      <c r="A11" s="5" t="s">
        <v>74</v>
      </c>
      <c r="B11" s="12">
        <v>0.12</v>
      </c>
      <c r="C11" s="6" t="s">
        <v>75</v>
      </c>
      <c r="D11" s="6" t="s">
        <v>76</v>
      </c>
      <c r="E11" s="7" t="s">
        <v>67</v>
      </c>
    </row>
    <row r="12" ht="22" customHeight="1" spans="1:5" x14ac:dyDescent="0.25">
      <c r="A12" s="5" t="s">
        <v>77</v>
      </c>
      <c r="B12" s="12">
        <v>0.045</v>
      </c>
      <c r="C12" s="6" t="s">
        <v>78</v>
      </c>
      <c r="D12" s="6" t="s">
        <v>79</v>
      </c>
      <c r="E12" s="7" t="s">
        <v>67</v>
      </c>
    </row>
    <row r="13" ht="22" customHeight="1" spans="1:5" x14ac:dyDescent="0.25">
      <c r="A13" s="5" t="s">
        <v>80</v>
      </c>
      <c r="B13" s="13">
        <f>((1+B11)/(1+B12))-1</f>
        <v>0.07177033492822993</v>
      </c>
      <c r="C13" s="6" t="s">
        <v>81</v>
      </c>
      <c r="D13" s="6" t="s">
        <v>82</v>
      </c>
      <c r="E13" s="7" t="s">
        <v>67</v>
      </c>
    </row>
    <row r="14" ht="22" customHeight="1" spans="1:5" x14ac:dyDescent="0.25">
      <c r="A14" s="5" t="s">
        <v>83</v>
      </c>
      <c r="B14" s="12">
        <v>0.06</v>
      </c>
      <c r="C14" s="6" t="s">
        <v>84</v>
      </c>
      <c r="D14" s="6" t="s">
        <v>85</v>
      </c>
      <c r="E14" s="7" t="s">
        <v>86</v>
      </c>
    </row>
    <row r="15" ht="22" customHeight="1" spans="1:5" x14ac:dyDescent="0.25">
      <c r="A15" s="5" t="s">
        <v>87</v>
      </c>
      <c r="B15" s="10">
        <v>6</v>
      </c>
      <c r="C15" s="6" t="s">
        <v>88</v>
      </c>
      <c r="D15" s="6" t="s">
        <v>89</v>
      </c>
      <c r="E15" s="7" t="s">
        <v>86</v>
      </c>
    </row>
    <row r="16" ht="22" customHeight="1" spans="1:5" x14ac:dyDescent="0.25">
      <c r="A16" s="5" t="s">
        <v>90</v>
      </c>
      <c r="B16" s="11">
        <v>25000</v>
      </c>
      <c r="C16" s="6" t="s">
        <v>91</v>
      </c>
      <c r="D16" s="6" t="s">
        <v>92</v>
      </c>
      <c r="E16" s="7" t="s">
        <v>86</v>
      </c>
    </row>
    <row r="17" ht="22" customHeight="1" spans="1:5" x14ac:dyDescent="0.25">
      <c r="A17" s="5" t="s">
        <v>93</v>
      </c>
      <c r="B17" s="14">
        <f>B6*B9</f>
        <v>1700</v>
      </c>
      <c r="C17" s="6" t="s">
        <v>94</v>
      </c>
      <c r="D17" s="6" t="s">
        <v>95</v>
      </c>
      <c r="E17" s="7" t="s">
        <v>86</v>
      </c>
    </row>
    <row r="18" ht="22" customHeight="1" spans="1:5" x14ac:dyDescent="0.25">
      <c r="A18" s="5" t="s">
        <v>96</v>
      </c>
      <c r="B18" s="11">
        <v>1000000</v>
      </c>
      <c r="C18" s="6" t="s">
        <v>97</v>
      </c>
      <c r="D18" s="6" t="s">
        <v>98</v>
      </c>
      <c r="E18" s="7" t="s">
        <v>99</v>
      </c>
    </row>
    <row r="19" ht="22" customHeight="1" spans="1:5" x14ac:dyDescent="0.25">
      <c r="A19" s="5" t="s">
        <v>100</v>
      </c>
      <c r="B19" s="15" t="str">
        <f>IF(ROUND(B10,4)=1,"OK — 100% FECHADO","AJUSTAR % PARA SOMAR 100%")</f>
        <v>OK — 100% FECHADO</v>
      </c>
      <c r="C19" s="6" t="s">
        <v>101</v>
      </c>
      <c r="D19" s="6" t="s">
        <v>102</v>
      </c>
      <c r="E19" s="7" t="s">
        <v>99</v>
      </c>
    </row>
  </sheetData>
  <sheetProtection sheet="1" formatColumns="0" formatRows="0" autoFilter="0"/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12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22" customWidth="1"/>
    <col min="4" max="4" width="28" customWidth="1"/>
    <col min="5" max="5" width="34" customWidth="1"/>
    <col min="6" max="7" width="18" customWidth="1"/>
    <col min="8" max="8" width="15" customWidth="1"/>
  </cols>
  <sheetData>
    <row r="1" ht="32" customHeight="1" spans="1:8" x14ac:dyDescent="0.25">
      <c r="A1" s="1" t="s">
        <v>103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104</v>
      </c>
      <c r="B2" s="2"/>
      <c r="C2" s="2"/>
      <c r="D2" s="2"/>
      <c r="E2" s="2"/>
      <c r="F2" s="2"/>
      <c r="G2" s="2"/>
      <c r="H2" s="2"/>
    </row>
    <row r="4" ht="26" customHeight="1" spans="1:8" x14ac:dyDescent="0.25">
      <c r="A4" s="3" t="s">
        <v>105</v>
      </c>
      <c r="B4" s="3" t="s">
        <v>106</v>
      </c>
      <c r="C4" s="3" t="s">
        <v>107</v>
      </c>
      <c r="D4" s="3" t="s">
        <v>108</v>
      </c>
      <c r="E4" s="3" t="s">
        <v>109</v>
      </c>
      <c r="F4" s="3" t="s">
        <v>110</v>
      </c>
      <c r="G4" s="3" t="s">
        <v>111</v>
      </c>
      <c r="H4" s="3" t="s">
        <v>112</v>
      </c>
    </row>
    <row r="5" ht="20" customHeight="1" spans="1:8" x14ac:dyDescent="0.25">
      <c r="A5" s="16">
        <v>46027.5</v>
      </c>
      <c r="B5" s="17">
        <f>IF(ISNUMBER(A5),MONTH(A5),"")</f>
        <v>1</v>
      </c>
      <c r="C5" s="18" t="s">
        <v>57</v>
      </c>
      <c r="D5" s="18" t="s">
        <v>56</v>
      </c>
      <c r="E5" s="18" t="s">
        <v>113</v>
      </c>
      <c r="F5" s="9" t="s">
        <v>114</v>
      </c>
      <c r="G5" s="11">
        <v>8200</v>
      </c>
      <c r="H5" s="9" t="s">
        <v>115</v>
      </c>
    </row>
    <row r="6" ht="20" customHeight="1" spans="1:8" x14ac:dyDescent="0.25">
      <c r="A6" s="16">
        <v>46029.5</v>
      </c>
      <c r="B6" s="17">
        <f>IF(ISNUMBER(A6),MONTH(A6),"")</f>
        <v>1</v>
      </c>
      <c r="C6" s="18" t="s">
        <v>67</v>
      </c>
      <c r="D6" s="18" t="s">
        <v>66</v>
      </c>
      <c r="E6" s="18" t="s">
        <v>116</v>
      </c>
      <c r="F6" s="9" t="s">
        <v>117</v>
      </c>
      <c r="G6" s="11">
        <v>2250</v>
      </c>
      <c r="H6" s="9" t="s">
        <v>115</v>
      </c>
    </row>
    <row r="7" ht="20" customHeight="1" spans="1:8" x14ac:dyDescent="0.25">
      <c r="A7" s="16">
        <v>46032.5</v>
      </c>
      <c r="B7" s="17">
        <f>IF(ISNUMBER(A7),MONTH(A7),"")</f>
        <v>1</v>
      </c>
      <c r="C7" s="18" t="s">
        <v>67</v>
      </c>
      <c r="D7" s="18" t="s">
        <v>70</v>
      </c>
      <c r="E7" s="18" t="s">
        <v>118</v>
      </c>
      <c r="F7" s="9" t="s">
        <v>119</v>
      </c>
      <c r="G7" s="11">
        <v>1180</v>
      </c>
      <c r="H7" s="9" t="s">
        <v>115</v>
      </c>
    </row>
    <row r="8" ht="20" customHeight="1" spans="1:8" x14ac:dyDescent="0.25">
      <c r="A8" s="16">
        <v>46034.5</v>
      </c>
      <c r="B8" s="17">
        <f>IF(ISNUMBER(A8),MONTH(A8),"")</f>
        <v>1</v>
      </c>
      <c r="C8" s="18" t="s">
        <v>67</v>
      </c>
      <c r="D8" s="18" t="s">
        <v>79</v>
      </c>
      <c r="E8" s="18" t="s">
        <v>120</v>
      </c>
      <c r="F8" s="9" t="s">
        <v>121</v>
      </c>
      <c r="G8" s="11">
        <v>390</v>
      </c>
      <c r="H8" s="9" t="s">
        <v>115</v>
      </c>
    </row>
    <row r="9" ht="20" customHeight="1" spans="1:8" x14ac:dyDescent="0.25">
      <c r="A9" s="16">
        <v>46037.5</v>
      </c>
      <c r="B9" s="17">
        <f>IF(ISNUMBER(A9),MONTH(A9),"")</f>
        <v>1</v>
      </c>
      <c r="C9" s="18" t="s">
        <v>86</v>
      </c>
      <c r="D9" s="18" t="s">
        <v>85</v>
      </c>
      <c r="E9" s="18" t="s">
        <v>122</v>
      </c>
      <c r="F9" s="9" t="s">
        <v>119</v>
      </c>
      <c r="G9" s="11">
        <v>460</v>
      </c>
      <c r="H9" s="9" t="s">
        <v>115</v>
      </c>
    </row>
    <row r="10" ht="20" customHeight="1" spans="1:8" x14ac:dyDescent="0.25">
      <c r="A10" s="16">
        <v>46040.5</v>
      </c>
      <c r="B10" s="17">
        <f>IF(ISNUMBER(A10),MONTH(A10),"")</f>
        <v>1</v>
      </c>
      <c r="C10" s="18" t="s">
        <v>86</v>
      </c>
      <c r="D10" s="18" t="s">
        <v>92</v>
      </c>
      <c r="E10" s="18" t="s">
        <v>123</v>
      </c>
      <c r="F10" s="9" t="s">
        <v>119</v>
      </c>
      <c r="G10" s="11">
        <v>240</v>
      </c>
      <c r="H10" s="9" t="s">
        <v>115</v>
      </c>
    </row>
    <row r="11" ht="20" customHeight="1" spans="1:8" x14ac:dyDescent="0.25">
      <c r="A11" s="16">
        <v>46042.5</v>
      </c>
      <c r="B11" s="17">
        <f>IF(ISNUMBER(A11),MONTH(A11),"")</f>
        <v>1</v>
      </c>
      <c r="C11" s="18" t="s">
        <v>99</v>
      </c>
      <c r="D11" s="18" t="s">
        <v>98</v>
      </c>
      <c r="E11" s="18" t="s">
        <v>124</v>
      </c>
      <c r="F11" s="9" t="s">
        <v>125</v>
      </c>
      <c r="G11" s="11">
        <v>1200</v>
      </c>
      <c r="H11" s="9" t="s">
        <v>115</v>
      </c>
    </row>
    <row r="12" ht="20" customHeight="1" spans="1:8" x14ac:dyDescent="0.25">
      <c r="A12" s="16">
        <v>46044.5</v>
      </c>
      <c r="B12" s="17">
        <f>IF(ISNUMBER(A12),MONTH(A12),"")</f>
        <v>1</v>
      </c>
      <c r="C12" s="18" t="s">
        <v>99</v>
      </c>
      <c r="D12" s="18" t="s">
        <v>102</v>
      </c>
      <c r="E12" s="18" t="s">
        <v>126</v>
      </c>
      <c r="F12" s="9" t="s">
        <v>125</v>
      </c>
      <c r="G12" s="11">
        <v>650</v>
      </c>
      <c r="H12" s="9" t="s">
        <v>115</v>
      </c>
    </row>
    <row r="13" ht="20" customHeight="1" spans="1:8" x14ac:dyDescent="0.25">
      <c r="A13" s="16"/>
      <c r="B13" s="17" t="str">
        <f>IF(ISNUMBER(A13),MONTH(A13),"")</f>
        <v/>
      </c>
      <c r="C13" s="18"/>
      <c r="D13" s="18"/>
      <c r="E13" s="18"/>
      <c r="F13" s="9"/>
      <c r="G13" s="11"/>
      <c r="H13" s="9"/>
    </row>
    <row r="14" ht="20" customHeight="1" spans="1:8" x14ac:dyDescent="0.25">
      <c r="A14" s="16"/>
      <c r="B14" s="17" t="str">
        <f>IF(ISNUMBER(A14),MONTH(A14),"")</f>
        <v/>
      </c>
      <c r="C14" s="18"/>
      <c r="D14" s="18"/>
      <c r="E14" s="18"/>
      <c r="F14" s="9"/>
      <c r="G14" s="11"/>
      <c r="H14" s="9"/>
    </row>
    <row r="15" ht="20" customHeight="1" spans="1:8" x14ac:dyDescent="0.25">
      <c r="A15" s="16"/>
      <c r="B15" s="17" t="str">
        <f>IF(ISNUMBER(A15),MONTH(A15),"")</f>
        <v/>
      </c>
      <c r="C15" s="18"/>
      <c r="D15" s="18"/>
      <c r="E15" s="18"/>
      <c r="F15" s="9"/>
      <c r="G15" s="11"/>
      <c r="H15" s="9"/>
    </row>
    <row r="16" ht="20" customHeight="1" spans="1:8" x14ac:dyDescent="0.25">
      <c r="A16" s="16"/>
      <c r="B16" s="17" t="str">
        <f>IF(ISNUMBER(A16),MONTH(A16),"")</f>
        <v/>
      </c>
      <c r="C16" s="18"/>
      <c r="D16" s="18"/>
      <c r="E16" s="18"/>
      <c r="F16" s="9"/>
      <c r="G16" s="11"/>
      <c r="H16" s="9"/>
    </row>
    <row r="17" ht="20" customHeight="1" spans="1:8" x14ac:dyDescent="0.25">
      <c r="A17" s="16"/>
      <c r="B17" s="17" t="str">
        <f>IF(ISNUMBER(A17),MONTH(A17),"")</f>
        <v/>
      </c>
      <c r="C17" s="18"/>
      <c r="D17" s="18"/>
      <c r="E17" s="18"/>
      <c r="F17" s="9"/>
      <c r="G17" s="11"/>
      <c r="H17" s="9"/>
    </row>
    <row r="18" ht="20" customHeight="1" spans="1:8" x14ac:dyDescent="0.25">
      <c r="A18" s="16"/>
      <c r="B18" s="17" t="str">
        <f>IF(ISNUMBER(A18),MONTH(A18),"")</f>
        <v/>
      </c>
      <c r="C18" s="18"/>
      <c r="D18" s="18"/>
      <c r="E18" s="18"/>
      <c r="F18" s="9"/>
      <c r="G18" s="11"/>
      <c r="H18" s="9"/>
    </row>
    <row r="19" ht="20" customHeight="1" spans="1:8" x14ac:dyDescent="0.25">
      <c r="A19" s="16"/>
      <c r="B19" s="17" t="str">
        <f>IF(ISNUMBER(A19),MONTH(A19),"")</f>
        <v/>
      </c>
      <c r="C19" s="18"/>
      <c r="D19" s="18"/>
      <c r="E19" s="18"/>
      <c r="F19" s="9"/>
      <c r="G19" s="11"/>
      <c r="H19" s="9"/>
    </row>
    <row r="20" ht="20" customHeight="1" spans="1:8" x14ac:dyDescent="0.25">
      <c r="A20" s="16"/>
      <c r="B20" s="17" t="str">
        <f>IF(ISNUMBER(A20),MONTH(A20),"")</f>
        <v/>
      </c>
      <c r="C20" s="18"/>
      <c r="D20" s="18"/>
      <c r="E20" s="18"/>
      <c r="F20" s="9"/>
      <c r="G20" s="11"/>
      <c r="H20" s="9"/>
    </row>
    <row r="21" ht="20" customHeight="1" spans="1:8" x14ac:dyDescent="0.25">
      <c r="A21" s="16"/>
      <c r="B21" s="17" t="str">
        <f>IF(ISNUMBER(A21),MONTH(A21),"")</f>
        <v/>
      </c>
      <c r="C21" s="18"/>
      <c r="D21" s="18"/>
      <c r="E21" s="18"/>
      <c r="F21" s="9"/>
      <c r="G21" s="11"/>
      <c r="H21" s="9"/>
    </row>
    <row r="22" ht="20" customHeight="1" spans="1:8" x14ac:dyDescent="0.25">
      <c r="A22" s="16"/>
      <c r="B22" s="17" t="str">
        <f>IF(ISNUMBER(A22),MONTH(A22),"")</f>
        <v/>
      </c>
      <c r="C22" s="18"/>
      <c r="D22" s="18"/>
      <c r="E22" s="18"/>
      <c r="F22" s="9"/>
      <c r="G22" s="11"/>
      <c r="H22" s="9"/>
    </row>
    <row r="23" ht="20" customHeight="1" spans="1:8" x14ac:dyDescent="0.25">
      <c r="A23" s="16"/>
      <c r="B23" s="17" t="str">
        <f>IF(ISNUMBER(A23),MONTH(A23),"")</f>
        <v/>
      </c>
      <c r="C23" s="18"/>
      <c r="D23" s="18"/>
      <c r="E23" s="18"/>
      <c r="F23" s="9"/>
      <c r="G23" s="11"/>
      <c r="H23" s="9"/>
    </row>
    <row r="24" ht="20" customHeight="1" spans="1:8" x14ac:dyDescent="0.25">
      <c r="A24" s="16"/>
      <c r="B24" s="17" t="str">
        <f>IF(ISNUMBER(A24),MONTH(A24),"")</f>
        <v/>
      </c>
      <c r="C24" s="18"/>
      <c r="D24" s="18"/>
      <c r="E24" s="18"/>
      <c r="F24" s="9"/>
      <c r="G24" s="11"/>
      <c r="H24" s="9"/>
    </row>
    <row r="25" ht="20" customHeight="1" spans="1:8" x14ac:dyDescent="0.25">
      <c r="A25" s="16"/>
      <c r="B25" s="17" t="str">
        <f>IF(ISNUMBER(A25),MONTH(A25),"")</f>
        <v/>
      </c>
      <c r="C25" s="18"/>
      <c r="D25" s="18"/>
      <c r="E25" s="18"/>
      <c r="F25" s="9"/>
      <c r="G25" s="11"/>
      <c r="H25" s="9"/>
    </row>
    <row r="26" ht="20" customHeight="1" spans="1:8" x14ac:dyDescent="0.25">
      <c r="A26" s="16"/>
      <c r="B26" s="17" t="str">
        <f>IF(ISNUMBER(A26),MONTH(A26),"")</f>
        <v/>
      </c>
      <c r="C26" s="18"/>
      <c r="D26" s="18"/>
      <c r="E26" s="18"/>
      <c r="F26" s="9"/>
      <c r="G26" s="11"/>
      <c r="H26" s="9"/>
    </row>
    <row r="27" ht="20" customHeight="1" spans="1:8" x14ac:dyDescent="0.25">
      <c r="A27" s="16"/>
      <c r="B27" s="17" t="str">
        <f>IF(ISNUMBER(A27),MONTH(A27),"")</f>
        <v/>
      </c>
      <c r="C27" s="18"/>
      <c r="D27" s="18"/>
      <c r="E27" s="18"/>
      <c r="F27" s="9"/>
      <c r="G27" s="11"/>
      <c r="H27" s="9"/>
    </row>
    <row r="28" ht="20" customHeight="1" spans="1:8" x14ac:dyDescent="0.25">
      <c r="A28" s="16"/>
      <c r="B28" s="17" t="str">
        <f>IF(ISNUMBER(A28),MONTH(A28),"")</f>
        <v/>
      </c>
      <c r="C28" s="18"/>
      <c r="D28" s="18"/>
      <c r="E28" s="18"/>
      <c r="F28" s="9"/>
      <c r="G28" s="11"/>
      <c r="H28" s="9"/>
    </row>
    <row r="29" ht="20" customHeight="1" spans="1:8" x14ac:dyDescent="0.25">
      <c r="A29" s="16"/>
      <c r="B29" s="17" t="str">
        <f>IF(ISNUMBER(A29),MONTH(A29),"")</f>
        <v/>
      </c>
      <c r="C29" s="18"/>
      <c r="D29" s="18"/>
      <c r="E29" s="18"/>
      <c r="F29" s="9"/>
      <c r="G29" s="11"/>
      <c r="H29" s="9"/>
    </row>
    <row r="30" ht="20" customHeight="1" spans="1:8" x14ac:dyDescent="0.25">
      <c r="A30" s="16"/>
      <c r="B30" s="17" t="str">
        <f>IF(ISNUMBER(A30),MONTH(A30),"")</f>
        <v/>
      </c>
      <c r="C30" s="18"/>
      <c r="D30" s="18"/>
      <c r="E30" s="18"/>
      <c r="F30" s="9"/>
      <c r="G30" s="11"/>
      <c r="H30" s="9"/>
    </row>
    <row r="31" ht="20" customHeight="1" spans="1:8" x14ac:dyDescent="0.25">
      <c r="A31" s="16"/>
      <c r="B31" s="17" t="str">
        <f>IF(ISNUMBER(A31),MONTH(A31),"")</f>
        <v/>
      </c>
      <c r="C31" s="18"/>
      <c r="D31" s="18"/>
      <c r="E31" s="18"/>
      <c r="F31" s="9"/>
      <c r="G31" s="11"/>
      <c r="H31" s="9"/>
    </row>
    <row r="32" ht="20" customHeight="1" spans="1:8" x14ac:dyDescent="0.25">
      <c r="A32" s="16"/>
      <c r="B32" s="17" t="str">
        <f>IF(ISNUMBER(A32),MONTH(A32),"")</f>
        <v/>
      </c>
      <c r="C32" s="18"/>
      <c r="D32" s="18"/>
      <c r="E32" s="18"/>
      <c r="F32" s="9"/>
      <c r="G32" s="11"/>
      <c r="H32" s="9"/>
    </row>
    <row r="33" ht="20" customHeight="1" spans="1:8" x14ac:dyDescent="0.25">
      <c r="A33" s="16"/>
      <c r="B33" s="17" t="str">
        <f>IF(ISNUMBER(A33),MONTH(A33),"")</f>
        <v/>
      </c>
      <c r="C33" s="18"/>
      <c r="D33" s="18"/>
      <c r="E33" s="18"/>
      <c r="F33" s="9"/>
      <c r="G33" s="11"/>
      <c r="H33" s="9"/>
    </row>
    <row r="34" ht="20" customHeight="1" spans="1:8" x14ac:dyDescent="0.25">
      <c r="A34" s="16"/>
      <c r="B34" s="17" t="str">
        <f>IF(ISNUMBER(A34),MONTH(A34),"")</f>
        <v/>
      </c>
      <c r="C34" s="18"/>
      <c r="D34" s="18"/>
      <c r="E34" s="18"/>
      <c r="F34" s="9"/>
      <c r="G34" s="11"/>
      <c r="H34" s="9"/>
    </row>
    <row r="35" ht="20" customHeight="1" spans="1:8" x14ac:dyDescent="0.25">
      <c r="A35" s="16"/>
      <c r="B35" s="17" t="str">
        <f>IF(ISNUMBER(A35),MONTH(A35),"")</f>
        <v/>
      </c>
      <c r="C35" s="18"/>
      <c r="D35" s="18"/>
      <c r="E35" s="18"/>
      <c r="F35" s="9"/>
      <c r="G35" s="11"/>
      <c r="H35" s="9"/>
    </row>
    <row r="36" ht="20" customHeight="1" spans="1:8" x14ac:dyDescent="0.25">
      <c r="A36" s="16"/>
      <c r="B36" s="17" t="str">
        <f>IF(ISNUMBER(A36),MONTH(A36),"")</f>
        <v/>
      </c>
      <c r="C36" s="18"/>
      <c r="D36" s="18"/>
      <c r="E36" s="18"/>
      <c r="F36" s="9"/>
      <c r="G36" s="11"/>
      <c r="H36" s="9"/>
    </row>
    <row r="37" ht="20" customHeight="1" spans="1:8" x14ac:dyDescent="0.25">
      <c r="A37" s="16"/>
      <c r="B37" s="17" t="str">
        <f>IF(ISNUMBER(A37),MONTH(A37),"")</f>
        <v/>
      </c>
      <c r="C37" s="18"/>
      <c r="D37" s="18"/>
      <c r="E37" s="18"/>
      <c r="F37" s="9"/>
      <c r="G37" s="11"/>
      <c r="H37" s="9"/>
    </row>
    <row r="38" ht="20" customHeight="1" spans="1:8" x14ac:dyDescent="0.25">
      <c r="A38" s="16"/>
      <c r="B38" s="17" t="str">
        <f>IF(ISNUMBER(A38),MONTH(A38),"")</f>
        <v/>
      </c>
      <c r="C38" s="18"/>
      <c r="D38" s="18"/>
      <c r="E38" s="18"/>
      <c r="F38" s="9"/>
      <c r="G38" s="11"/>
      <c r="H38" s="9"/>
    </row>
    <row r="39" ht="20" customHeight="1" spans="1:8" x14ac:dyDescent="0.25">
      <c r="A39" s="16"/>
      <c r="B39" s="17" t="str">
        <f>IF(ISNUMBER(A39),MONTH(A39),"")</f>
        <v/>
      </c>
      <c r="C39" s="18"/>
      <c r="D39" s="18"/>
      <c r="E39" s="18"/>
      <c r="F39" s="9"/>
      <c r="G39" s="11"/>
      <c r="H39" s="9"/>
    </row>
    <row r="40" ht="20" customHeight="1" spans="1:8" x14ac:dyDescent="0.25">
      <c r="A40" s="16"/>
      <c r="B40" s="17" t="str">
        <f>IF(ISNUMBER(A40),MONTH(A40),"")</f>
        <v/>
      </c>
      <c r="C40" s="18"/>
      <c r="D40" s="18"/>
      <c r="E40" s="18"/>
      <c r="F40" s="9"/>
      <c r="G40" s="11"/>
      <c r="H40" s="9"/>
    </row>
    <row r="41" ht="20" customHeight="1" spans="1:8" x14ac:dyDescent="0.25">
      <c r="A41" s="16"/>
      <c r="B41" s="17" t="str">
        <f>IF(ISNUMBER(A41),MONTH(A41),"")</f>
        <v/>
      </c>
      <c r="C41" s="18"/>
      <c r="D41" s="18"/>
      <c r="E41" s="18"/>
      <c r="F41" s="9"/>
      <c r="G41" s="11"/>
      <c r="H41" s="9"/>
    </row>
    <row r="42" ht="20" customHeight="1" spans="1:8" x14ac:dyDescent="0.25">
      <c r="A42" s="16"/>
      <c r="B42" s="17" t="str">
        <f>IF(ISNUMBER(A42),MONTH(A42),"")</f>
        <v/>
      </c>
      <c r="C42" s="18"/>
      <c r="D42" s="18"/>
      <c r="E42" s="18"/>
      <c r="F42" s="9"/>
      <c r="G42" s="11"/>
      <c r="H42" s="9"/>
    </row>
    <row r="43" ht="20" customHeight="1" spans="1:8" x14ac:dyDescent="0.25">
      <c r="A43" s="16"/>
      <c r="B43" s="17" t="str">
        <f>IF(ISNUMBER(A43),MONTH(A43),"")</f>
        <v/>
      </c>
      <c r="C43" s="18"/>
      <c r="D43" s="18"/>
      <c r="E43" s="18"/>
      <c r="F43" s="9"/>
      <c r="G43" s="11"/>
      <c r="H43" s="9"/>
    </row>
    <row r="44" ht="20" customHeight="1" spans="1:8" x14ac:dyDescent="0.25">
      <c r="A44" s="16"/>
      <c r="B44" s="17" t="str">
        <f>IF(ISNUMBER(A44),MONTH(A44),"")</f>
        <v/>
      </c>
      <c r="C44" s="18"/>
      <c r="D44" s="18"/>
      <c r="E44" s="18"/>
      <c r="F44" s="9"/>
      <c r="G44" s="11"/>
      <c r="H44" s="9"/>
    </row>
    <row r="45" ht="20" customHeight="1" spans="1:8" x14ac:dyDescent="0.25">
      <c r="A45" s="16"/>
      <c r="B45" s="17" t="str">
        <f>IF(ISNUMBER(A45),MONTH(A45),"")</f>
        <v/>
      </c>
      <c r="C45" s="18"/>
      <c r="D45" s="18"/>
      <c r="E45" s="18"/>
      <c r="F45" s="9"/>
      <c r="G45" s="11"/>
      <c r="H45" s="9"/>
    </row>
    <row r="46" ht="20" customHeight="1" spans="1:8" x14ac:dyDescent="0.25">
      <c r="A46" s="16"/>
      <c r="B46" s="17" t="str">
        <f>IF(ISNUMBER(A46),MONTH(A46),"")</f>
        <v/>
      </c>
      <c r="C46" s="18"/>
      <c r="D46" s="18"/>
      <c r="E46" s="18"/>
      <c r="F46" s="9"/>
      <c r="G46" s="11"/>
      <c r="H46" s="9"/>
    </row>
    <row r="47" ht="20" customHeight="1" spans="1:8" x14ac:dyDescent="0.25">
      <c r="A47" s="16"/>
      <c r="B47" s="17" t="str">
        <f>IF(ISNUMBER(A47),MONTH(A47),"")</f>
        <v/>
      </c>
      <c r="C47" s="18"/>
      <c r="D47" s="18"/>
      <c r="E47" s="18"/>
      <c r="F47" s="9"/>
      <c r="G47" s="11"/>
      <c r="H47" s="9"/>
    </row>
    <row r="48" ht="20" customHeight="1" spans="1:8" x14ac:dyDescent="0.25">
      <c r="A48" s="16"/>
      <c r="B48" s="17" t="str">
        <f>IF(ISNUMBER(A48),MONTH(A48),"")</f>
        <v/>
      </c>
      <c r="C48" s="18"/>
      <c r="D48" s="18"/>
      <c r="E48" s="18"/>
      <c r="F48" s="9"/>
      <c r="G48" s="11"/>
      <c r="H48" s="9"/>
    </row>
    <row r="49" ht="20" customHeight="1" spans="1:8" x14ac:dyDescent="0.25">
      <c r="A49" s="16"/>
      <c r="B49" s="17" t="str">
        <f>IF(ISNUMBER(A49),MONTH(A49),"")</f>
        <v/>
      </c>
      <c r="C49" s="18"/>
      <c r="D49" s="18"/>
      <c r="E49" s="18"/>
      <c r="F49" s="9"/>
      <c r="G49" s="11"/>
      <c r="H49" s="9"/>
    </row>
    <row r="50" ht="20" customHeight="1" spans="1:8" x14ac:dyDescent="0.25">
      <c r="A50" s="16"/>
      <c r="B50" s="17" t="str">
        <f>IF(ISNUMBER(A50),MONTH(A50),"")</f>
        <v/>
      </c>
      <c r="C50" s="18"/>
      <c r="D50" s="18"/>
      <c r="E50" s="18"/>
      <c r="F50" s="9"/>
      <c r="G50" s="11"/>
      <c r="H50" s="9"/>
    </row>
    <row r="51" ht="20" customHeight="1" spans="1:8" x14ac:dyDescent="0.25">
      <c r="A51" s="16"/>
      <c r="B51" s="17" t="str">
        <f>IF(ISNUMBER(A51),MONTH(A51),"")</f>
        <v/>
      </c>
      <c r="C51" s="18"/>
      <c r="D51" s="18"/>
      <c r="E51" s="18"/>
      <c r="F51" s="9"/>
      <c r="G51" s="11"/>
      <c r="H51" s="9"/>
    </row>
    <row r="52" ht="20" customHeight="1" spans="1:8" x14ac:dyDescent="0.25">
      <c r="A52" s="16"/>
      <c r="B52" s="17" t="str">
        <f>IF(ISNUMBER(A52),MONTH(A52),"")</f>
        <v/>
      </c>
      <c r="C52" s="18"/>
      <c r="D52" s="18"/>
      <c r="E52" s="18"/>
      <c r="F52" s="9"/>
      <c r="G52" s="11"/>
      <c r="H52" s="9"/>
    </row>
    <row r="53" ht="20" customHeight="1" spans="1:8" x14ac:dyDescent="0.25">
      <c r="A53" s="16"/>
      <c r="B53" s="17" t="str">
        <f>IF(ISNUMBER(A53),MONTH(A53),"")</f>
        <v/>
      </c>
      <c r="C53" s="18"/>
      <c r="D53" s="18"/>
      <c r="E53" s="18"/>
      <c r="F53" s="9"/>
      <c r="G53" s="11"/>
      <c r="H53" s="9"/>
    </row>
    <row r="54" ht="20" customHeight="1" spans="1:8" x14ac:dyDescent="0.25">
      <c r="A54" s="16"/>
      <c r="B54" s="17" t="str">
        <f>IF(ISNUMBER(A54),MONTH(A54),"")</f>
        <v/>
      </c>
      <c r="C54" s="18"/>
      <c r="D54" s="18"/>
      <c r="E54" s="18"/>
      <c r="F54" s="9"/>
      <c r="G54" s="11"/>
      <c r="H54" s="9"/>
    </row>
    <row r="55" ht="20" customHeight="1" spans="1:8" x14ac:dyDescent="0.25">
      <c r="A55" s="16"/>
      <c r="B55" s="17" t="str">
        <f>IF(ISNUMBER(A55),MONTH(A55),"")</f>
        <v/>
      </c>
      <c r="C55" s="18"/>
      <c r="D55" s="18"/>
      <c r="E55" s="18"/>
      <c r="F55" s="9"/>
      <c r="G55" s="11"/>
      <c r="H55" s="9"/>
    </row>
    <row r="56" ht="20" customHeight="1" spans="1:8" x14ac:dyDescent="0.25">
      <c r="A56" s="16"/>
      <c r="B56" s="17" t="str">
        <f>IF(ISNUMBER(A56),MONTH(A56),"")</f>
        <v/>
      </c>
      <c r="C56" s="18"/>
      <c r="D56" s="18"/>
      <c r="E56" s="18"/>
      <c r="F56" s="9"/>
      <c r="G56" s="11"/>
      <c r="H56" s="9"/>
    </row>
    <row r="57" ht="20" customHeight="1" spans="1:8" x14ac:dyDescent="0.25">
      <c r="A57" s="16"/>
      <c r="B57" s="17" t="str">
        <f>IF(ISNUMBER(A57),MONTH(A57),"")</f>
        <v/>
      </c>
      <c r="C57" s="18"/>
      <c r="D57" s="18"/>
      <c r="E57" s="18"/>
      <c r="F57" s="9"/>
      <c r="G57" s="11"/>
      <c r="H57" s="9"/>
    </row>
    <row r="58" ht="20" customHeight="1" spans="1:8" x14ac:dyDescent="0.25">
      <c r="A58" s="16"/>
      <c r="B58" s="17" t="str">
        <f>IF(ISNUMBER(A58),MONTH(A58),"")</f>
        <v/>
      </c>
      <c r="C58" s="18"/>
      <c r="D58" s="18"/>
      <c r="E58" s="18"/>
      <c r="F58" s="9"/>
      <c r="G58" s="11"/>
      <c r="H58" s="9"/>
    </row>
    <row r="59" ht="20" customHeight="1" spans="1:8" x14ac:dyDescent="0.25">
      <c r="A59" s="16"/>
      <c r="B59" s="17" t="str">
        <f>IF(ISNUMBER(A59),MONTH(A59),"")</f>
        <v/>
      </c>
      <c r="C59" s="18"/>
      <c r="D59" s="18"/>
      <c r="E59" s="18"/>
      <c r="F59" s="9"/>
      <c r="G59" s="11"/>
      <c r="H59" s="9"/>
    </row>
    <row r="60" ht="20" customHeight="1" spans="1:8" x14ac:dyDescent="0.25">
      <c r="A60" s="16"/>
      <c r="B60" s="17" t="str">
        <f>IF(ISNUMBER(A60),MONTH(A60),"")</f>
        <v/>
      </c>
      <c r="C60" s="18"/>
      <c r="D60" s="18"/>
      <c r="E60" s="18"/>
      <c r="F60" s="9"/>
      <c r="G60" s="11"/>
      <c r="H60" s="9"/>
    </row>
    <row r="61" ht="20" customHeight="1" spans="1:8" x14ac:dyDescent="0.25">
      <c r="A61" s="16"/>
      <c r="B61" s="17" t="str">
        <f>IF(ISNUMBER(A61),MONTH(A61),"")</f>
        <v/>
      </c>
      <c r="C61" s="18"/>
      <c r="D61" s="18"/>
      <c r="E61" s="18"/>
      <c r="F61" s="9"/>
      <c r="G61" s="11"/>
      <c r="H61" s="9"/>
    </row>
    <row r="62" ht="20" customHeight="1" spans="1:8" x14ac:dyDescent="0.25">
      <c r="A62" s="16"/>
      <c r="B62" s="17" t="str">
        <f>IF(ISNUMBER(A62),MONTH(A62),"")</f>
        <v/>
      </c>
      <c r="C62" s="18"/>
      <c r="D62" s="18"/>
      <c r="E62" s="18"/>
      <c r="F62" s="9"/>
      <c r="G62" s="11"/>
      <c r="H62" s="9"/>
    </row>
    <row r="63" ht="20" customHeight="1" spans="1:8" x14ac:dyDescent="0.25">
      <c r="A63" s="16"/>
      <c r="B63" s="17" t="str">
        <f>IF(ISNUMBER(A63),MONTH(A63),"")</f>
        <v/>
      </c>
      <c r="C63" s="18"/>
      <c r="D63" s="18"/>
      <c r="E63" s="18"/>
      <c r="F63" s="9"/>
      <c r="G63" s="11"/>
      <c r="H63" s="9"/>
    </row>
    <row r="64" ht="20" customHeight="1" spans="1:8" x14ac:dyDescent="0.25">
      <c r="A64" s="16"/>
      <c r="B64" s="17" t="str">
        <f>IF(ISNUMBER(A64),MONTH(A64),"")</f>
        <v/>
      </c>
      <c r="C64" s="18"/>
      <c r="D64" s="18"/>
      <c r="E64" s="18"/>
      <c r="F64" s="9"/>
      <c r="G64" s="11"/>
      <c r="H64" s="9"/>
    </row>
    <row r="65" ht="20" customHeight="1" spans="1:8" x14ac:dyDescent="0.25">
      <c r="A65" s="16"/>
      <c r="B65" s="17" t="str">
        <f>IF(ISNUMBER(A65),MONTH(A65),"")</f>
        <v/>
      </c>
      <c r="C65" s="18"/>
      <c r="D65" s="18"/>
      <c r="E65" s="18"/>
      <c r="F65" s="9"/>
      <c r="G65" s="11"/>
      <c r="H65" s="9"/>
    </row>
    <row r="66" ht="20" customHeight="1" spans="1:8" x14ac:dyDescent="0.25">
      <c r="A66" s="16"/>
      <c r="B66" s="17" t="str">
        <f>IF(ISNUMBER(A66),MONTH(A66),"")</f>
        <v/>
      </c>
      <c r="C66" s="18"/>
      <c r="D66" s="18"/>
      <c r="E66" s="18"/>
      <c r="F66" s="9"/>
      <c r="G66" s="11"/>
      <c r="H66" s="9"/>
    </row>
    <row r="67" ht="20" customHeight="1" spans="1:8" x14ac:dyDescent="0.25">
      <c r="A67" s="16"/>
      <c r="B67" s="17" t="str">
        <f>IF(ISNUMBER(A67),MONTH(A67),"")</f>
        <v/>
      </c>
      <c r="C67" s="18"/>
      <c r="D67" s="18"/>
      <c r="E67" s="18"/>
      <c r="F67" s="9"/>
      <c r="G67" s="11"/>
      <c r="H67" s="9"/>
    </row>
    <row r="68" ht="20" customHeight="1" spans="1:8" x14ac:dyDescent="0.25">
      <c r="A68" s="16"/>
      <c r="B68" s="17" t="str">
        <f>IF(ISNUMBER(A68),MONTH(A68),"")</f>
        <v/>
      </c>
      <c r="C68" s="18"/>
      <c r="D68" s="18"/>
      <c r="E68" s="18"/>
      <c r="F68" s="9"/>
      <c r="G68" s="11"/>
      <c r="H68" s="9"/>
    </row>
    <row r="69" ht="20" customHeight="1" spans="1:8" x14ac:dyDescent="0.25">
      <c r="A69" s="16"/>
      <c r="B69" s="17" t="str">
        <f>IF(ISNUMBER(A69),MONTH(A69),"")</f>
        <v/>
      </c>
      <c r="C69" s="18"/>
      <c r="D69" s="18"/>
      <c r="E69" s="18"/>
      <c r="F69" s="9"/>
      <c r="G69" s="11"/>
      <c r="H69" s="9"/>
    </row>
    <row r="70" ht="20" customHeight="1" spans="1:8" x14ac:dyDescent="0.25">
      <c r="A70" s="16"/>
      <c r="B70" s="17" t="str">
        <f>IF(ISNUMBER(A70),MONTH(A70),"")</f>
        <v/>
      </c>
      <c r="C70" s="18"/>
      <c r="D70" s="18"/>
      <c r="E70" s="18"/>
      <c r="F70" s="9"/>
      <c r="G70" s="11"/>
      <c r="H70" s="9"/>
    </row>
    <row r="71" ht="20" customHeight="1" spans="1:8" x14ac:dyDescent="0.25">
      <c r="A71" s="16"/>
      <c r="B71" s="17" t="str">
        <f>IF(ISNUMBER(A71),MONTH(A71),"")</f>
        <v/>
      </c>
      <c r="C71" s="18"/>
      <c r="D71" s="18"/>
      <c r="E71" s="18"/>
      <c r="F71" s="9"/>
      <c r="G71" s="11"/>
      <c r="H71" s="9"/>
    </row>
    <row r="72" ht="20" customHeight="1" spans="1:8" x14ac:dyDescent="0.25">
      <c r="A72" s="16"/>
      <c r="B72" s="17" t="str">
        <f>IF(ISNUMBER(A72),MONTH(A72),"")</f>
        <v/>
      </c>
      <c r="C72" s="18"/>
      <c r="D72" s="18"/>
      <c r="E72" s="18"/>
      <c r="F72" s="9"/>
      <c r="G72" s="11"/>
      <c r="H72" s="9"/>
    </row>
    <row r="73" ht="20" customHeight="1" spans="1:8" x14ac:dyDescent="0.25">
      <c r="A73" s="16"/>
      <c r="B73" s="17" t="str">
        <f>IF(ISNUMBER(A73),MONTH(A73),"")</f>
        <v/>
      </c>
      <c r="C73" s="18"/>
      <c r="D73" s="18"/>
      <c r="E73" s="18"/>
      <c r="F73" s="9"/>
      <c r="G73" s="11"/>
      <c r="H73" s="9"/>
    </row>
    <row r="74" ht="20" customHeight="1" spans="1:8" x14ac:dyDescent="0.25">
      <c r="A74" s="16"/>
      <c r="B74" s="17" t="str">
        <f>IF(ISNUMBER(A74),MONTH(A74),"")</f>
        <v/>
      </c>
      <c r="C74" s="18"/>
      <c r="D74" s="18"/>
      <c r="E74" s="18"/>
      <c r="F74" s="9"/>
      <c r="G74" s="11"/>
      <c r="H74" s="9"/>
    </row>
    <row r="75" ht="20" customHeight="1" spans="1:8" x14ac:dyDescent="0.25">
      <c r="A75" s="16"/>
      <c r="B75" s="17" t="str">
        <f>IF(ISNUMBER(A75),MONTH(A75),"")</f>
        <v/>
      </c>
      <c r="C75" s="18"/>
      <c r="D75" s="18"/>
      <c r="E75" s="18"/>
      <c r="F75" s="9"/>
      <c r="G75" s="11"/>
      <c r="H75" s="9"/>
    </row>
    <row r="76" ht="20" customHeight="1" spans="1:8" x14ac:dyDescent="0.25">
      <c r="A76" s="16"/>
      <c r="B76" s="17" t="str">
        <f>IF(ISNUMBER(A76),MONTH(A76),"")</f>
        <v/>
      </c>
      <c r="C76" s="18"/>
      <c r="D76" s="18"/>
      <c r="E76" s="18"/>
      <c r="F76" s="9"/>
      <c r="G76" s="11"/>
      <c r="H76" s="9"/>
    </row>
    <row r="77" ht="20" customHeight="1" spans="1:8" x14ac:dyDescent="0.25">
      <c r="A77" s="16"/>
      <c r="B77" s="17" t="str">
        <f>IF(ISNUMBER(A77),MONTH(A77),"")</f>
        <v/>
      </c>
      <c r="C77" s="18"/>
      <c r="D77" s="18"/>
      <c r="E77" s="18"/>
      <c r="F77" s="9"/>
      <c r="G77" s="11"/>
      <c r="H77" s="9"/>
    </row>
    <row r="78" ht="20" customHeight="1" spans="1:8" x14ac:dyDescent="0.25">
      <c r="A78" s="16"/>
      <c r="B78" s="17" t="str">
        <f>IF(ISNUMBER(A78),MONTH(A78),"")</f>
        <v/>
      </c>
      <c r="C78" s="18"/>
      <c r="D78" s="18"/>
      <c r="E78" s="18"/>
      <c r="F78" s="9"/>
      <c r="G78" s="11"/>
      <c r="H78" s="9"/>
    </row>
    <row r="79" ht="20" customHeight="1" spans="1:8" x14ac:dyDescent="0.25">
      <c r="A79" s="16"/>
      <c r="B79" s="17" t="str">
        <f>IF(ISNUMBER(A79),MONTH(A79),"")</f>
        <v/>
      </c>
      <c r="C79" s="18"/>
      <c r="D79" s="18"/>
      <c r="E79" s="18"/>
      <c r="F79" s="9"/>
      <c r="G79" s="11"/>
      <c r="H79" s="9"/>
    </row>
    <row r="80" ht="20" customHeight="1" spans="1:8" x14ac:dyDescent="0.25">
      <c r="A80" s="16"/>
      <c r="B80" s="17" t="str">
        <f>IF(ISNUMBER(A80),MONTH(A80),"")</f>
        <v/>
      </c>
      <c r="C80" s="18"/>
      <c r="D80" s="18"/>
      <c r="E80" s="18"/>
      <c r="F80" s="9"/>
      <c r="G80" s="11"/>
      <c r="H80" s="9"/>
    </row>
    <row r="81" ht="20" customHeight="1" spans="1:8" x14ac:dyDescent="0.25">
      <c r="A81" s="16"/>
      <c r="B81" s="17" t="str">
        <f>IF(ISNUMBER(A81),MONTH(A81),"")</f>
        <v/>
      </c>
      <c r="C81" s="18"/>
      <c r="D81" s="18"/>
      <c r="E81" s="18"/>
      <c r="F81" s="9"/>
      <c r="G81" s="11"/>
      <c r="H81" s="9"/>
    </row>
    <row r="82" ht="20" customHeight="1" spans="1:8" x14ac:dyDescent="0.25">
      <c r="A82" s="16"/>
      <c r="B82" s="17" t="str">
        <f>IF(ISNUMBER(A82),MONTH(A82),"")</f>
        <v/>
      </c>
      <c r="C82" s="18"/>
      <c r="D82" s="18"/>
      <c r="E82" s="18"/>
      <c r="F82" s="9"/>
      <c r="G82" s="11"/>
      <c r="H82" s="9"/>
    </row>
    <row r="83" ht="20" customHeight="1" spans="1:8" x14ac:dyDescent="0.25">
      <c r="A83" s="16"/>
      <c r="B83" s="17" t="str">
        <f>IF(ISNUMBER(A83),MONTH(A83),"")</f>
        <v/>
      </c>
      <c r="C83" s="18"/>
      <c r="D83" s="18"/>
      <c r="E83" s="18"/>
      <c r="F83" s="9"/>
      <c r="G83" s="11"/>
      <c r="H83" s="9"/>
    </row>
    <row r="84" ht="20" customHeight="1" spans="1:8" x14ac:dyDescent="0.25">
      <c r="A84" s="16"/>
      <c r="B84" s="17" t="str">
        <f>IF(ISNUMBER(A84),MONTH(A84),"")</f>
        <v/>
      </c>
      <c r="C84" s="18"/>
      <c r="D84" s="18"/>
      <c r="E84" s="18"/>
      <c r="F84" s="9"/>
      <c r="G84" s="11"/>
      <c r="H84" s="9"/>
    </row>
    <row r="85" ht="20" customHeight="1" spans="1:8" x14ac:dyDescent="0.25">
      <c r="A85" s="16"/>
      <c r="B85" s="17" t="str">
        <f>IF(ISNUMBER(A85),MONTH(A85),"")</f>
        <v/>
      </c>
      <c r="C85" s="18"/>
      <c r="D85" s="18"/>
      <c r="E85" s="18"/>
      <c r="F85" s="9"/>
      <c r="G85" s="11"/>
      <c r="H85" s="9"/>
    </row>
    <row r="86" ht="20" customHeight="1" spans="1:8" x14ac:dyDescent="0.25">
      <c r="A86" s="16"/>
      <c r="B86" s="17" t="str">
        <f>IF(ISNUMBER(A86),MONTH(A86),"")</f>
        <v/>
      </c>
      <c r="C86" s="18"/>
      <c r="D86" s="18"/>
      <c r="E86" s="18"/>
      <c r="F86" s="9"/>
      <c r="G86" s="11"/>
      <c r="H86" s="9"/>
    </row>
    <row r="87" ht="20" customHeight="1" spans="1:8" x14ac:dyDescent="0.25">
      <c r="A87" s="16"/>
      <c r="B87" s="17" t="str">
        <f>IF(ISNUMBER(A87),MONTH(A87),"")</f>
        <v/>
      </c>
      <c r="C87" s="18"/>
      <c r="D87" s="18"/>
      <c r="E87" s="18"/>
      <c r="F87" s="9"/>
      <c r="G87" s="11"/>
      <c r="H87" s="9"/>
    </row>
    <row r="88" ht="20" customHeight="1" spans="1:8" x14ac:dyDescent="0.25">
      <c r="A88" s="16"/>
      <c r="B88" s="17" t="str">
        <f>IF(ISNUMBER(A88),MONTH(A88),"")</f>
        <v/>
      </c>
      <c r="C88" s="18"/>
      <c r="D88" s="18"/>
      <c r="E88" s="18"/>
      <c r="F88" s="9"/>
      <c r="G88" s="11"/>
      <c r="H88" s="9"/>
    </row>
    <row r="89" ht="20" customHeight="1" spans="1:8" x14ac:dyDescent="0.25">
      <c r="A89" s="16"/>
      <c r="B89" s="17" t="str">
        <f>IF(ISNUMBER(A89),MONTH(A89),"")</f>
        <v/>
      </c>
      <c r="C89" s="18"/>
      <c r="D89" s="18"/>
      <c r="E89" s="18"/>
      <c r="F89" s="9"/>
      <c r="G89" s="11"/>
      <c r="H89" s="9"/>
    </row>
    <row r="90" ht="20" customHeight="1" spans="1:8" x14ac:dyDescent="0.25">
      <c r="A90" s="16"/>
      <c r="B90" s="17" t="str">
        <f>IF(ISNUMBER(A90),MONTH(A90),"")</f>
        <v/>
      </c>
      <c r="C90" s="18"/>
      <c r="D90" s="18"/>
      <c r="E90" s="18"/>
      <c r="F90" s="9"/>
      <c r="G90" s="11"/>
      <c r="H90" s="9"/>
    </row>
    <row r="91" ht="20" customHeight="1" spans="1:8" x14ac:dyDescent="0.25">
      <c r="A91" s="16"/>
      <c r="B91" s="17" t="str">
        <f>IF(ISNUMBER(A91),MONTH(A91),"")</f>
        <v/>
      </c>
      <c r="C91" s="18"/>
      <c r="D91" s="18"/>
      <c r="E91" s="18"/>
      <c r="F91" s="9"/>
      <c r="G91" s="11"/>
      <c r="H91" s="9"/>
    </row>
    <row r="92" ht="20" customHeight="1" spans="1:8" x14ac:dyDescent="0.25">
      <c r="A92" s="16"/>
      <c r="B92" s="17" t="str">
        <f>IF(ISNUMBER(A92),MONTH(A92),"")</f>
        <v/>
      </c>
      <c r="C92" s="18"/>
      <c r="D92" s="18"/>
      <c r="E92" s="18"/>
      <c r="F92" s="9"/>
      <c r="G92" s="11"/>
      <c r="H92" s="9"/>
    </row>
    <row r="93" ht="20" customHeight="1" spans="1:8" x14ac:dyDescent="0.25">
      <c r="A93" s="16"/>
      <c r="B93" s="17" t="str">
        <f>IF(ISNUMBER(A93),MONTH(A93),"")</f>
        <v/>
      </c>
      <c r="C93" s="18"/>
      <c r="D93" s="18"/>
      <c r="E93" s="18"/>
      <c r="F93" s="9"/>
      <c r="G93" s="11"/>
      <c r="H93" s="9"/>
    </row>
    <row r="94" ht="20" customHeight="1" spans="1:8" x14ac:dyDescent="0.25">
      <c r="A94" s="16"/>
      <c r="B94" s="17" t="str">
        <f>IF(ISNUMBER(A94),MONTH(A94),"")</f>
        <v/>
      </c>
      <c r="C94" s="18"/>
      <c r="D94" s="18"/>
      <c r="E94" s="18"/>
      <c r="F94" s="9"/>
      <c r="G94" s="11"/>
      <c r="H94" s="9"/>
    </row>
    <row r="95" ht="20" customHeight="1" spans="1:8" x14ac:dyDescent="0.25">
      <c r="A95" s="16"/>
      <c r="B95" s="17" t="str">
        <f>IF(ISNUMBER(A95),MONTH(A95),"")</f>
        <v/>
      </c>
      <c r="C95" s="18"/>
      <c r="D95" s="18"/>
      <c r="E95" s="18"/>
      <c r="F95" s="9"/>
      <c r="G95" s="11"/>
      <c r="H95" s="9"/>
    </row>
    <row r="96" ht="20" customHeight="1" spans="1:8" x14ac:dyDescent="0.25">
      <c r="A96" s="16"/>
      <c r="B96" s="17" t="str">
        <f>IF(ISNUMBER(A96),MONTH(A96),"")</f>
        <v/>
      </c>
      <c r="C96" s="18"/>
      <c r="D96" s="18"/>
      <c r="E96" s="18"/>
      <c r="F96" s="9"/>
      <c r="G96" s="11"/>
      <c r="H96" s="9"/>
    </row>
    <row r="97" ht="20" customHeight="1" spans="1:8" x14ac:dyDescent="0.25">
      <c r="A97" s="16"/>
      <c r="B97" s="17" t="str">
        <f>IF(ISNUMBER(A97),MONTH(A97),"")</f>
        <v/>
      </c>
      <c r="C97" s="18"/>
      <c r="D97" s="18"/>
      <c r="E97" s="18"/>
      <c r="F97" s="9"/>
      <c r="G97" s="11"/>
      <c r="H97" s="9"/>
    </row>
    <row r="98" ht="20" customHeight="1" spans="1:8" x14ac:dyDescent="0.25">
      <c r="A98" s="16"/>
      <c r="B98" s="17" t="str">
        <f>IF(ISNUMBER(A98),MONTH(A98),"")</f>
        <v/>
      </c>
      <c r="C98" s="18"/>
      <c r="D98" s="18"/>
      <c r="E98" s="18"/>
      <c r="F98" s="9"/>
      <c r="G98" s="11"/>
      <c r="H98" s="9"/>
    </row>
    <row r="99" ht="20" customHeight="1" spans="1:8" x14ac:dyDescent="0.25">
      <c r="A99" s="16"/>
      <c r="B99" s="17" t="str">
        <f>IF(ISNUMBER(A99),MONTH(A99),"")</f>
        <v/>
      </c>
      <c r="C99" s="18"/>
      <c r="D99" s="18"/>
      <c r="E99" s="18"/>
      <c r="F99" s="9"/>
      <c r="G99" s="11"/>
      <c r="H99" s="9"/>
    </row>
    <row r="100" ht="20" customHeight="1" spans="1:8" x14ac:dyDescent="0.25">
      <c r="A100" s="16"/>
      <c r="B100" s="17" t="str">
        <f>IF(ISNUMBER(A100),MONTH(A100),"")</f>
        <v/>
      </c>
      <c r="C100" s="18"/>
      <c r="D100" s="18"/>
      <c r="E100" s="18"/>
      <c r="F100" s="9"/>
      <c r="G100" s="11"/>
      <c r="H100" s="9"/>
    </row>
    <row r="101" ht="20" customHeight="1" spans="1:8" x14ac:dyDescent="0.25">
      <c r="A101" s="16"/>
      <c r="B101" s="17" t="str">
        <f>IF(ISNUMBER(A101),MONTH(A101),"")</f>
        <v/>
      </c>
      <c r="C101" s="18"/>
      <c r="D101" s="18"/>
      <c r="E101" s="18"/>
      <c r="F101" s="9"/>
      <c r="G101" s="11"/>
      <c r="H101" s="9"/>
    </row>
    <row r="102" ht="20" customHeight="1" spans="1:8" x14ac:dyDescent="0.25">
      <c r="A102" s="16"/>
      <c r="B102" s="17" t="str">
        <f>IF(ISNUMBER(A102),MONTH(A102),"")</f>
        <v/>
      </c>
      <c r="C102" s="18"/>
      <c r="D102" s="18"/>
      <c r="E102" s="18"/>
      <c r="F102" s="9"/>
      <c r="G102" s="11"/>
      <c r="H102" s="9"/>
    </row>
    <row r="103" ht="20" customHeight="1" spans="1:8" x14ac:dyDescent="0.25">
      <c r="A103" s="16"/>
      <c r="B103" s="17" t="str">
        <f>IF(ISNUMBER(A103),MONTH(A103),"")</f>
        <v/>
      </c>
      <c r="C103" s="18"/>
      <c r="D103" s="18"/>
      <c r="E103" s="18"/>
      <c r="F103" s="9"/>
      <c r="G103" s="11"/>
      <c r="H103" s="9"/>
    </row>
    <row r="104" ht="20" customHeight="1" spans="1:8" x14ac:dyDescent="0.25">
      <c r="A104" s="16"/>
      <c r="B104" s="17" t="str">
        <f>IF(ISNUMBER(A104),MONTH(A104),"")</f>
        <v/>
      </c>
      <c r="C104" s="18"/>
      <c r="D104" s="18"/>
      <c r="E104" s="18"/>
      <c r="F104" s="9"/>
      <c r="G104" s="11"/>
      <c r="H104" s="9"/>
    </row>
    <row r="105" ht="20" customHeight="1" spans="1:8" x14ac:dyDescent="0.25">
      <c r="A105" s="16"/>
      <c r="B105" s="17" t="str">
        <f>IF(ISNUMBER(A105),MONTH(A105),"")</f>
        <v/>
      </c>
      <c r="C105" s="18"/>
      <c r="D105" s="18"/>
      <c r="E105" s="18"/>
      <c r="F105" s="9"/>
      <c r="G105" s="11"/>
      <c r="H105" s="9"/>
    </row>
    <row r="106" ht="20" customHeight="1" spans="1:8" x14ac:dyDescent="0.25">
      <c r="A106" s="16"/>
      <c r="B106" s="17" t="str">
        <f>IF(ISNUMBER(A106),MONTH(A106),"")</f>
        <v/>
      </c>
      <c r="C106" s="18"/>
      <c r="D106" s="18"/>
      <c r="E106" s="18"/>
      <c r="F106" s="9"/>
      <c r="G106" s="11"/>
      <c r="H106" s="9"/>
    </row>
    <row r="107" ht="20" customHeight="1" spans="1:8" x14ac:dyDescent="0.25">
      <c r="A107" s="16"/>
      <c r="B107" s="17" t="str">
        <f>IF(ISNUMBER(A107),MONTH(A107),"")</f>
        <v/>
      </c>
      <c r="C107" s="18"/>
      <c r="D107" s="18"/>
      <c r="E107" s="18"/>
      <c r="F107" s="9"/>
      <c r="G107" s="11"/>
      <c r="H107" s="9"/>
    </row>
    <row r="108" ht="20" customHeight="1" spans="1:8" x14ac:dyDescent="0.25">
      <c r="A108" s="16"/>
      <c r="B108" s="17" t="str">
        <f>IF(ISNUMBER(A108),MONTH(A108),"")</f>
        <v/>
      </c>
      <c r="C108" s="18"/>
      <c r="D108" s="18"/>
      <c r="E108" s="18"/>
      <c r="F108" s="9"/>
      <c r="G108" s="11"/>
      <c r="H108" s="9"/>
    </row>
    <row r="109" ht="20" customHeight="1" spans="1:8" x14ac:dyDescent="0.25">
      <c r="A109" s="16"/>
      <c r="B109" s="17" t="str">
        <f>IF(ISNUMBER(A109),MONTH(A109),"")</f>
        <v/>
      </c>
      <c r="C109" s="18"/>
      <c r="D109" s="18"/>
      <c r="E109" s="18"/>
      <c r="F109" s="9"/>
      <c r="G109" s="11"/>
      <c r="H109" s="9"/>
    </row>
    <row r="110" ht="20" customHeight="1" spans="1:8" x14ac:dyDescent="0.25">
      <c r="A110" s="16"/>
      <c r="B110" s="17" t="str">
        <f>IF(ISNUMBER(A110),MONTH(A110),"")</f>
        <v/>
      </c>
      <c r="C110" s="18"/>
      <c r="D110" s="18"/>
      <c r="E110" s="18"/>
      <c r="F110" s="9"/>
      <c r="G110" s="11"/>
      <c r="H110" s="9"/>
    </row>
    <row r="111" ht="20" customHeight="1" spans="1:8" x14ac:dyDescent="0.25">
      <c r="A111" s="16"/>
      <c r="B111" s="17" t="str">
        <f>IF(ISNUMBER(A111),MONTH(A111),"")</f>
        <v/>
      </c>
      <c r="C111" s="18"/>
      <c r="D111" s="18"/>
      <c r="E111" s="18"/>
      <c r="F111" s="9"/>
      <c r="G111" s="11"/>
      <c r="H111" s="9"/>
    </row>
    <row r="112" ht="20" customHeight="1" spans="1:8" x14ac:dyDescent="0.25">
      <c r="A112" s="16"/>
      <c r="B112" s="17" t="str">
        <f>IF(ISNUMBER(A112),MONTH(A112),"")</f>
        <v/>
      </c>
      <c r="C112" s="18"/>
      <c r="D112" s="18"/>
      <c r="E112" s="18"/>
      <c r="F112" s="9"/>
      <c r="G112" s="11"/>
      <c r="H112" s="9"/>
    </row>
    <row r="113" ht="20" customHeight="1" spans="1:8" x14ac:dyDescent="0.25">
      <c r="A113" s="16"/>
      <c r="B113" s="17" t="str">
        <f>IF(ISNUMBER(A113),MONTH(A113),"")</f>
        <v/>
      </c>
      <c r="C113" s="18"/>
      <c r="D113" s="18"/>
      <c r="E113" s="18"/>
      <c r="F113" s="9"/>
      <c r="G113" s="11"/>
      <c r="H113" s="9"/>
    </row>
    <row r="114" ht="20" customHeight="1" spans="1:8" x14ac:dyDescent="0.25">
      <c r="A114" s="16"/>
      <c r="B114" s="17" t="str">
        <f>IF(ISNUMBER(A114),MONTH(A114),"")</f>
        <v/>
      </c>
      <c r="C114" s="18"/>
      <c r="D114" s="18"/>
      <c r="E114" s="18"/>
      <c r="F114" s="9"/>
      <c r="G114" s="11"/>
      <c r="H114" s="9"/>
    </row>
    <row r="115" ht="20" customHeight="1" spans="1:8" x14ac:dyDescent="0.25">
      <c r="A115" s="16"/>
      <c r="B115" s="17" t="str">
        <f>IF(ISNUMBER(A115),MONTH(A115),"")</f>
        <v/>
      </c>
      <c r="C115" s="18"/>
      <c r="D115" s="18"/>
      <c r="E115" s="18"/>
      <c r="F115" s="9"/>
      <c r="G115" s="11"/>
      <c r="H115" s="9"/>
    </row>
    <row r="116" ht="20" customHeight="1" spans="1:8" x14ac:dyDescent="0.25">
      <c r="A116" s="16"/>
      <c r="B116" s="17" t="str">
        <f>IF(ISNUMBER(A116),MONTH(A116),"")</f>
        <v/>
      </c>
      <c r="C116" s="18"/>
      <c r="D116" s="18"/>
      <c r="E116" s="18"/>
      <c r="F116" s="9"/>
      <c r="G116" s="11"/>
      <c r="H116" s="9"/>
    </row>
    <row r="117" ht="20" customHeight="1" spans="1:8" x14ac:dyDescent="0.25">
      <c r="A117" s="16"/>
      <c r="B117" s="17" t="str">
        <f>IF(ISNUMBER(A117),MONTH(A117),"")</f>
        <v/>
      </c>
      <c r="C117" s="18"/>
      <c r="D117" s="18"/>
      <c r="E117" s="18"/>
      <c r="F117" s="9"/>
      <c r="G117" s="11"/>
      <c r="H117" s="9"/>
    </row>
    <row r="118" ht="20" customHeight="1" spans="1:8" x14ac:dyDescent="0.25">
      <c r="A118" s="16"/>
      <c r="B118" s="17" t="str">
        <f>IF(ISNUMBER(A118),MONTH(A118),"")</f>
        <v/>
      </c>
      <c r="C118" s="18"/>
      <c r="D118" s="18"/>
      <c r="E118" s="18"/>
      <c r="F118" s="9"/>
      <c r="G118" s="11"/>
      <c r="H118" s="9"/>
    </row>
    <row r="119" ht="20" customHeight="1" spans="1:8" x14ac:dyDescent="0.25">
      <c r="A119" s="16"/>
      <c r="B119" s="17" t="str">
        <f>IF(ISNUMBER(A119),MONTH(A119),"")</f>
        <v/>
      </c>
      <c r="C119" s="18"/>
      <c r="D119" s="18"/>
      <c r="E119" s="18"/>
      <c r="F119" s="9"/>
      <c r="G119" s="11"/>
      <c r="H119" s="9"/>
    </row>
    <row r="120" ht="20" customHeight="1" spans="1:8" x14ac:dyDescent="0.25">
      <c r="A120" s="16"/>
      <c r="B120" s="17" t="str">
        <f>IF(ISNUMBER(A120),MONTH(A120),"")</f>
        <v/>
      </c>
      <c r="C120" s="18"/>
      <c r="D120" s="18"/>
      <c r="E120" s="18"/>
      <c r="F120" s="9"/>
      <c r="G120" s="11"/>
      <c r="H120" s="9"/>
    </row>
    <row r="121" ht="20" customHeight="1" spans="1:8" x14ac:dyDescent="0.25">
      <c r="A121" s="16"/>
      <c r="B121" s="17" t="str">
        <f>IF(ISNUMBER(A121),MONTH(A121),"")</f>
        <v/>
      </c>
      <c r="C121" s="18"/>
      <c r="D121" s="18"/>
      <c r="E121" s="18"/>
      <c r="F121" s="9"/>
      <c r="G121" s="11"/>
      <c r="H121" s="9"/>
    </row>
    <row r="122" ht="20" customHeight="1" spans="1:8" x14ac:dyDescent="0.25">
      <c r="A122" s="16"/>
      <c r="B122" s="17" t="str">
        <f>IF(ISNUMBER(A122),MONTH(A122),"")</f>
        <v/>
      </c>
      <c r="C122" s="18"/>
      <c r="D122" s="18"/>
      <c r="E122" s="18"/>
      <c r="F122" s="9"/>
      <c r="G122" s="11"/>
      <c r="H122" s="9"/>
    </row>
    <row r="123" ht="20" customHeight="1" spans="1:8" x14ac:dyDescent="0.25">
      <c r="A123" s="16"/>
      <c r="B123" s="17" t="str">
        <f>IF(ISNUMBER(A123),MONTH(A123),"")</f>
        <v/>
      </c>
      <c r="C123" s="18"/>
      <c r="D123" s="18"/>
      <c r="E123" s="18"/>
      <c r="F123" s="9"/>
      <c r="G123" s="11"/>
      <c r="H123" s="9"/>
    </row>
    <row r="124" ht="20" customHeight="1" spans="1:8" x14ac:dyDescent="0.25">
      <c r="A124" s="16"/>
      <c r="B124" s="17" t="str">
        <f>IF(ISNUMBER(A124),MONTH(A124),"")</f>
        <v/>
      </c>
      <c r="C124" s="18"/>
      <c r="D124" s="18"/>
      <c r="E124" s="18"/>
      <c r="F124" s="9"/>
      <c r="G124" s="11"/>
      <c r="H124" s="9"/>
    </row>
  </sheetData>
  <sheetProtection sheet="1" formatColumns="0" formatRows="0" autoFilter="0"/>
  <mergeCells count="2">
    <mergeCell ref="A1:H1"/>
    <mergeCell ref="A2:H2"/>
  </mergeCells>
  <dataValidations count="4">
    <dataValidation type="list" allowBlank="1" sqref="C10:C124">
      <formula1>"Receita,Essencial (50%),Estilo de Vida (30%),Aportes (20%)"</formula1>
    </dataValidation>
    <dataValidation type="list" allowBlank="1" sqref="C5:C124">
      <formula1>"Receita,Essencial (50%),Estilo de Vida (30%),Aportes (20%)"</formula1>
    </dataValidation>
    <dataValidation type="list" allowBlank="1" sqref="H10:H124">
      <formula1>"Pago,Pendente"</formula1>
    </dataValidation>
    <dataValidation type="list" allowBlank="1" sqref="H5:H124">
      <formula1>"Pago,Pendente"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1:F1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3" width="20" customWidth="1"/>
    <col min="4" max="5" width="18" customWidth="1"/>
    <col min="6" max="6" width="26" customWidth="1"/>
  </cols>
  <sheetData>
    <row r="1" ht="32" customHeight="1" spans="1:6" x14ac:dyDescent="0.25">
      <c r="A1" s="1" t="s">
        <v>127</v>
      </c>
      <c r="B1" s="1"/>
      <c r="C1" s="1"/>
      <c r="D1" s="1"/>
      <c r="E1" s="1"/>
      <c r="F1" s="1"/>
    </row>
    <row r="2" ht="22" customHeight="1" spans="1:6" x14ac:dyDescent="0.25">
      <c r="A2" s="2" t="s">
        <v>128</v>
      </c>
      <c r="B2" s="2"/>
      <c r="C2" s="2"/>
      <c r="D2" s="2"/>
      <c r="E2" s="2"/>
      <c r="F2" s="2"/>
    </row>
    <row r="4" ht="24" customHeight="1" spans="1:6" x14ac:dyDescent="0.25">
      <c r="A4" s="5" t="s">
        <v>129</v>
      </c>
      <c r="B4" s="19">
        <v>1</v>
      </c>
      <c r="C4" s="15" t="s">
        <v>130</v>
      </c>
      <c r="D4" s="14">
        <f>SUMIFS(Lançamentos!G$5:G$124,Lançamentos!B$5:B$124,B4,Lançamentos!C$5:C$124,"Receita")</f>
        <v>8200</v>
      </c>
      <c r="E4" s="15" t="s">
        <v>131</v>
      </c>
      <c r="F4" s="14">
        <f>D4-SUM(C7:C9)</f>
        <v>1830</v>
      </c>
    </row>
    <row r="6" ht="26" customHeight="1" spans="1:6" x14ac:dyDescent="0.25">
      <c r="A6" s="3" t="s">
        <v>132</v>
      </c>
      <c r="B6" s="3" t="s">
        <v>133</v>
      </c>
      <c r="C6" s="3" t="s">
        <v>134</v>
      </c>
      <c r="D6" s="3" t="s">
        <v>135</v>
      </c>
      <c r="E6" s="3" t="s">
        <v>136</v>
      </c>
      <c r="F6" s="3" t="s">
        <v>137</v>
      </c>
    </row>
    <row r="7" ht="24" customHeight="1" spans="1:6" x14ac:dyDescent="0.25">
      <c r="A7" s="5" t="s">
        <v>67</v>
      </c>
      <c r="B7" s="20">
        <f>MAX($D$4,Configuração!B6)*Configuração!B7</f>
        <v>4250</v>
      </c>
      <c r="C7" s="14">
        <f>SUMIFS(Lançamentos!G$5:G$124,Lançamentos!B$5:B$124,$B$4,Lançamentos!C$5:C$124,A7)</f>
        <v>3820</v>
      </c>
      <c r="D7" s="21">
        <f>IF($D$4&gt;0,C7/$D$4,0)</f>
        <v>0.4658536585365854</v>
      </c>
      <c r="E7" s="20">
        <f>B7-C7</f>
        <v>430</v>
      </c>
      <c r="F7" s="4" t="str">
        <f>IF(C7&lt;=B7,"DENTRO DO ORÇAMENTO","ACIMA DO LIMITE")</f>
        <v>DENTRO DO ORÇAMENTO</v>
      </c>
    </row>
    <row r="8" ht="24" customHeight="1" spans="1:6" x14ac:dyDescent="0.25">
      <c r="A8" s="5" t="s">
        <v>86</v>
      </c>
      <c r="B8" s="20">
        <f>MAX($D$4,Configuração!B6)*Configuração!B8</f>
        <v>2550</v>
      </c>
      <c r="C8" s="14">
        <f>SUMIFS(Lançamentos!G$5:G$124,Lançamentos!B$5:B$124,$B$4,Lançamentos!C$5:C$124,A8)</f>
        <v>700</v>
      </c>
      <c r="D8" s="21">
        <f>IF($D$4&gt;0,C8/$D$4,0)</f>
        <v>0.08536585365853659</v>
      </c>
      <c r="E8" s="20">
        <f>B8-C8</f>
        <v>1850</v>
      </c>
      <c r="F8" s="4" t="str">
        <f>IF(C8&lt;=B8,"DENTRO DO ORÇAMENTO","ACIMA DO LIMITE")</f>
        <v>DENTRO DO ORÇAMENTO</v>
      </c>
    </row>
    <row r="9" ht="24" customHeight="1" spans="1:6" x14ac:dyDescent="0.25">
      <c r="A9" s="5" t="s">
        <v>99</v>
      </c>
      <c r="B9" s="20">
        <f>MAX($D$4,Configuração!B6)*Configuração!B9</f>
        <v>1700</v>
      </c>
      <c r="C9" s="14">
        <f>SUMIFS(Lançamentos!G$5:G$124,Lançamentos!B$5:B$124,$B$4,Lançamentos!C$5:C$124,A9)</f>
        <v>1850</v>
      </c>
      <c r="D9" s="21">
        <f>IF($D$4&gt;0,C9/$D$4,0)</f>
        <v>0.22560975609756098</v>
      </c>
      <c r="E9" s="20">
        <f>B9-C9</f>
        <v>-150</v>
      </c>
      <c r="F9" s="4" t="str">
        <f>IF(C9&gt;=B9,"META DE APORTE BATIDA!","Aporte abaixo da meta")</f>
        <v>META DE APORTE BATIDA!</v>
      </c>
    </row>
    <row r="10" ht="24" customHeight="1" spans="1:6" x14ac:dyDescent="0.25">
      <c r="A10" s="5" t="s">
        <v>138</v>
      </c>
      <c r="B10" s="14">
        <f>SUM(B7:B9)</f>
        <v>8500</v>
      </c>
      <c r="C10" s="14">
        <f>SUM(C7:C9)</f>
        <v>6370</v>
      </c>
      <c r="D10" s="13">
        <f>SUM(D7:D9)</f>
        <v>0.776829268292683</v>
      </c>
      <c r="E10" s="14">
        <f>SUM(E7:E9)</f>
        <v>2130</v>
      </c>
      <c r="F10" s="4" t="str">
        <f>IF(D4&gt;=C10,"SUPERÁVIT NO MÊS","DÉFICIT NO MÊS")</f>
        <v>SUPERÁVIT NO MÊS</v>
      </c>
    </row>
  </sheetData>
  <sheetProtection sheet="1" formatColumns="0" formatRows="0" autoFilter="0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47857"/>
  </sheetPr>
  <dimension ref="A1:O10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13" width="14" customWidth="1"/>
    <col min="14" max="15" width="16" customWidth="1"/>
  </cols>
  <sheetData>
    <row r="1" ht="32" customHeight="1" spans="1:15" x14ac:dyDescent="0.25">
      <c r="A1" s="1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2" customHeight="1" spans="1:15" x14ac:dyDescent="0.25">
      <c r="A2" s="2" t="s">
        <v>140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8" customHeight="1" spans="1:15" x14ac:dyDescent="0.25">
      <c r="A3" s="5" t="s">
        <v>141</v>
      </c>
      <c r="B3" s="22">
        <v>1</v>
      </c>
      <c r="C3" s="22">
        <v>2</v>
      </c>
      <c r="D3" s="22">
        <v>3</v>
      </c>
      <c r="E3" s="22">
        <v>4</v>
      </c>
      <c r="F3" s="22">
        <v>5</v>
      </c>
      <c r="G3" s="22">
        <v>6</v>
      </c>
      <c r="H3" s="22">
        <v>7</v>
      </c>
      <c r="I3" s="22">
        <v>8</v>
      </c>
      <c r="J3" s="22">
        <v>9</v>
      </c>
      <c r="K3" s="22">
        <v>10</v>
      </c>
      <c r="L3" s="22">
        <v>11</v>
      </c>
      <c r="M3" s="22">
        <v>12</v>
      </c>
      <c r="N3" s="4" t="s">
        <v>142</v>
      </c>
      <c r="O3" s="4" t="s">
        <v>143</v>
      </c>
    </row>
    <row r="4" ht="26" customHeight="1" spans="1:15" x14ac:dyDescent="0.25">
      <c r="A4" s="3" t="s">
        <v>144</v>
      </c>
      <c r="B4" s="3" t="s">
        <v>145</v>
      </c>
      <c r="C4" s="3" t="s">
        <v>146</v>
      </c>
      <c r="D4" s="3" t="s">
        <v>147</v>
      </c>
      <c r="E4" s="3" t="s">
        <v>148</v>
      </c>
      <c r="F4" s="3" t="s">
        <v>149</v>
      </c>
      <c r="G4" s="3" t="s">
        <v>150</v>
      </c>
      <c r="H4" s="3" t="s">
        <v>151</v>
      </c>
      <c r="I4" s="3" t="s">
        <v>152</v>
      </c>
      <c r="J4" s="3" t="s">
        <v>153</v>
      </c>
      <c r="K4" s="3" t="s">
        <v>154</v>
      </c>
      <c r="L4" s="3" t="s">
        <v>155</v>
      </c>
      <c r="M4" s="3" t="s">
        <v>156</v>
      </c>
      <c r="N4" s="3" t="s">
        <v>157</v>
      </c>
      <c r="O4" s="3" t="s">
        <v>158</v>
      </c>
    </row>
    <row r="5" ht="22" customHeight="1" spans="1:15" x14ac:dyDescent="0.25">
      <c r="A5" s="5" t="s">
        <v>57</v>
      </c>
      <c r="B5" s="20">
        <f>SUMIFS(Lançamentos!$G$5:$G$124,Lançamentos!$B$5:$B$124,B$3,Lançamentos!$C$5:$C$124,$A5)</f>
        <v>8200</v>
      </c>
      <c r="C5" s="20">
        <f>SUMIFS(Lançamentos!$G$5:$G$124,Lançamentos!$B$5:$B$124,C$3,Lançamentos!$C$5:$C$124,$A5)</f>
        <v>0</v>
      </c>
      <c r="D5" s="20">
        <f>SUMIFS(Lançamentos!$G$5:$G$124,Lançamentos!$B$5:$B$124,D$3,Lançamentos!$C$5:$C$124,$A5)</f>
        <v>0</v>
      </c>
      <c r="E5" s="20">
        <f>SUMIFS(Lançamentos!$G$5:$G$124,Lançamentos!$B$5:$B$124,E$3,Lançamentos!$C$5:$C$124,$A5)</f>
        <v>0</v>
      </c>
      <c r="F5" s="20">
        <f>SUMIFS(Lançamentos!$G$5:$G$124,Lançamentos!$B$5:$B$124,F$3,Lançamentos!$C$5:$C$124,$A5)</f>
        <v>0</v>
      </c>
      <c r="G5" s="20">
        <f>SUMIFS(Lançamentos!$G$5:$G$124,Lançamentos!$B$5:$B$124,G$3,Lançamentos!$C$5:$C$124,$A5)</f>
        <v>0</v>
      </c>
      <c r="H5" s="20">
        <f>SUMIFS(Lançamentos!$G$5:$G$124,Lançamentos!$B$5:$B$124,H$3,Lançamentos!$C$5:$C$124,$A5)</f>
        <v>0</v>
      </c>
      <c r="I5" s="20">
        <f>SUMIFS(Lançamentos!$G$5:$G$124,Lançamentos!$B$5:$B$124,I$3,Lançamentos!$C$5:$C$124,$A5)</f>
        <v>0</v>
      </c>
      <c r="J5" s="20">
        <f>SUMIFS(Lançamentos!$G$5:$G$124,Lançamentos!$B$5:$B$124,J$3,Lançamentos!$C$5:$C$124,$A5)</f>
        <v>0</v>
      </c>
      <c r="K5" s="20">
        <f>SUMIFS(Lançamentos!$G$5:$G$124,Lançamentos!$B$5:$B$124,K$3,Lançamentos!$C$5:$C$124,$A5)</f>
        <v>0</v>
      </c>
      <c r="L5" s="20">
        <f>SUMIFS(Lançamentos!$G$5:$G$124,Lançamentos!$B$5:$B$124,L$3,Lançamentos!$C$5:$C$124,$A5)</f>
        <v>0</v>
      </c>
      <c r="M5" s="20">
        <f>SUMIFS(Lançamentos!$G$5:$G$124,Lançamentos!$B$5:$B$124,M$3,Lançamentos!$C$5:$C$124,$A5)</f>
        <v>0</v>
      </c>
      <c r="N5" s="14">
        <f>SUM(B5:M5)</f>
        <v>8200</v>
      </c>
      <c r="O5" s="20">
        <f>AVERAGE(B5:M5)</f>
        <v>683.3333333333334</v>
      </c>
    </row>
    <row r="6" ht="22" customHeight="1" spans="1:15" x14ac:dyDescent="0.25">
      <c r="A6" s="5" t="s">
        <v>67</v>
      </c>
      <c r="B6" s="20">
        <f>SUMIFS(Lançamentos!$G$5:$G$124,Lançamentos!$B$5:$B$124,B$3,Lançamentos!$C$5:$C$124,$A6)</f>
        <v>3820</v>
      </c>
      <c r="C6" s="20">
        <f>SUMIFS(Lançamentos!$G$5:$G$124,Lançamentos!$B$5:$B$124,C$3,Lançamentos!$C$5:$C$124,$A6)</f>
        <v>0</v>
      </c>
      <c r="D6" s="20">
        <f>SUMIFS(Lançamentos!$G$5:$G$124,Lançamentos!$B$5:$B$124,D$3,Lançamentos!$C$5:$C$124,$A6)</f>
        <v>0</v>
      </c>
      <c r="E6" s="20">
        <f>SUMIFS(Lançamentos!$G$5:$G$124,Lançamentos!$B$5:$B$124,E$3,Lançamentos!$C$5:$C$124,$A6)</f>
        <v>0</v>
      </c>
      <c r="F6" s="20">
        <f>SUMIFS(Lançamentos!$G$5:$G$124,Lançamentos!$B$5:$B$124,F$3,Lançamentos!$C$5:$C$124,$A6)</f>
        <v>0</v>
      </c>
      <c r="G6" s="20">
        <f>SUMIFS(Lançamentos!$G$5:$G$124,Lançamentos!$B$5:$B$124,G$3,Lançamentos!$C$5:$C$124,$A6)</f>
        <v>0</v>
      </c>
      <c r="H6" s="20">
        <f>SUMIFS(Lançamentos!$G$5:$G$124,Lançamentos!$B$5:$B$124,H$3,Lançamentos!$C$5:$C$124,$A6)</f>
        <v>0</v>
      </c>
      <c r="I6" s="20">
        <f>SUMIFS(Lançamentos!$G$5:$G$124,Lançamentos!$B$5:$B$124,I$3,Lançamentos!$C$5:$C$124,$A6)</f>
        <v>0</v>
      </c>
      <c r="J6" s="20">
        <f>SUMIFS(Lançamentos!$G$5:$G$124,Lançamentos!$B$5:$B$124,J$3,Lançamentos!$C$5:$C$124,$A6)</f>
        <v>0</v>
      </c>
      <c r="K6" s="20">
        <f>SUMIFS(Lançamentos!$G$5:$G$124,Lançamentos!$B$5:$B$124,K$3,Lançamentos!$C$5:$C$124,$A6)</f>
        <v>0</v>
      </c>
      <c r="L6" s="20">
        <f>SUMIFS(Lançamentos!$G$5:$G$124,Lançamentos!$B$5:$B$124,L$3,Lançamentos!$C$5:$C$124,$A6)</f>
        <v>0</v>
      </c>
      <c r="M6" s="20">
        <f>SUMIFS(Lançamentos!$G$5:$G$124,Lançamentos!$B$5:$B$124,M$3,Lançamentos!$C$5:$C$124,$A6)</f>
        <v>0</v>
      </c>
      <c r="N6" s="14">
        <f>SUM(B6:M6)</f>
        <v>3820</v>
      </c>
      <c r="O6" s="20">
        <f>AVERAGE(B6:M6)</f>
        <v>318.3333333333333</v>
      </c>
    </row>
    <row r="7" ht="22" customHeight="1" spans="1:15" x14ac:dyDescent="0.25">
      <c r="A7" s="5" t="s">
        <v>86</v>
      </c>
      <c r="B7" s="20">
        <f>SUMIFS(Lançamentos!$G$5:$G$124,Lançamentos!$B$5:$B$124,B$3,Lançamentos!$C$5:$C$124,$A7)</f>
        <v>700</v>
      </c>
      <c r="C7" s="20">
        <f>SUMIFS(Lançamentos!$G$5:$G$124,Lançamentos!$B$5:$B$124,C$3,Lançamentos!$C$5:$C$124,$A7)</f>
        <v>0</v>
      </c>
      <c r="D7" s="20">
        <f>SUMIFS(Lançamentos!$G$5:$G$124,Lançamentos!$B$5:$B$124,D$3,Lançamentos!$C$5:$C$124,$A7)</f>
        <v>0</v>
      </c>
      <c r="E7" s="20">
        <f>SUMIFS(Lançamentos!$G$5:$G$124,Lançamentos!$B$5:$B$124,E$3,Lançamentos!$C$5:$C$124,$A7)</f>
        <v>0</v>
      </c>
      <c r="F7" s="20">
        <f>SUMIFS(Lançamentos!$G$5:$G$124,Lançamentos!$B$5:$B$124,F$3,Lançamentos!$C$5:$C$124,$A7)</f>
        <v>0</v>
      </c>
      <c r="G7" s="20">
        <f>SUMIFS(Lançamentos!$G$5:$G$124,Lançamentos!$B$5:$B$124,G$3,Lançamentos!$C$5:$C$124,$A7)</f>
        <v>0</v>
      </c>
      <c r="H7" s="20">
        <f>SUMIFS(Lançamentos!$G$5:$G$124,Lançamentos!$B$5:$B$124,H$3,Lançamentos!$C$5:$C$124,$A7)</f>
        <v>0</v>
      </c>
      <c r="I7" s="20">
        <f>SUMIFS(Lançamentos!$G$5:$G$124,Lançamentos!$B$5:$B$124,I$3,Lançamentos!$C$5:$C$124,$A7)</f>
        <v>0</v>
      </c>
      <c r="J7" s="20">
        <f>SUMIFS(Lançamentos!$G$5:$G$124,Lançamentos!$B$5:$B$124,J$3,Lançamentos!$C$5:$C$124,$A7)</f>
        <v>0</v>
      </c>
      <c r="K7" s="20">
        <f>SUMIFS(Lançamentos!$G$5:$G$124,Lançamentos!$B$5:$B$124,K$3,Lançamentos!$C$5:$C$124,$A7)</f>
        <v>0</v>
      </c>
      <c r="L7" s="20">
        <f>SUMIFS(Lançamentos!$G$5:$G$124,Lançamentos!$B$5:$B$124,L$3,Lançamentos!$C$5:$C$124,$A7)</f>
        <v>0</v>
      </c>
      <c r="M7" s="20">
        <f>SUMIFS(Lançamentos!$G$5:$G$124,Lançamentos!$B$5:$B$124,M$3,Lançamentos!$C$5:$C$124,$A7)</f>
        <v>0</v>
      </c>
      <c r="N7" s="14">
        <f>SUM(B7:M7)</f>
        <v>700</v>
      </c>
      <c r="O7" s="20">
        <f>AVERAGE(B7:M7)</f>
        <v>58.333333333333336</v>
      </c>
    </row>
    <row r="8" ht="22" customHeight="1" spans="1:15" x14ac:dyDescent="0.25">
      <c r="A8" s="5" t="s">
        <v>99</v>
      </c>
      <c r="B8" s="20">
        <f>SUMIFS(Lançamentos!$G$5:$G$124,Lançamentos!$B$5:$B$124,B$3,Lançamentos!$C$5:$C$124,$A8)</f>
        <v>1850</v>
      </c>
      <c r="C8" s="20">
        <f>SUMIFS(Lançamentos!$G$5:$G$124,Lançamentos!$B$5:$B$124,C$3,Lançamentos!$C$5:$C$124,$A8)</f>
        <v>0</v>
      </c>
      <c r="D8" s="20">
        <f>SUMIFS(Lançamentos!$G$5:$G$124,Lançamentos!$B$5:$B$124,D$3,Lançamentos!$C$5:$C$124,$A8)</f>
        <v>0</v>
      </c>
      <c r="E8" s="20">
        <f>SUMIFS(Lançamentos!$G$5:$G$124,Lançamentos!$B$5:$B$124,E$3,Lançamentos!$C$5:$C$124,$A8)</f>
        <v>0</v>
      </c>
      <c r="F8" s="20">
        <f>SUMIFS(Lançamentos!$G$5:$G$124,Lançamentos!$B$5:$B$124,F$3,Lançamentos!$C$5:$C$124,$A8)</f>
        <v>0</v>
      </c>
      <c r="G8" s="20">
        <f>SUMIFS(Lançamentos!$G$5:$G$124,Lançamentos!$B$5:$B$124,G$3,Lançamentos!$C$5:$C$124,$A8)</f>
        <v>0</v>
      </c>
      <c r="H8" s="20">
        <f>SUMIFS(Lançamentos!$G$5:$G$124,Lançamentos!$B$5:$B$124,H$3,Lançamentos!$C$5:$C$124,$A8)</f>
        <v>0</v>
      </c>
      <c r="I8" s="20">
        <f>SUMIFS(Lançamentos!$G$5:$G$124,Lançamentos!$B$5:$B$124,I$3,Lançamentos!$C$5:$C$124,$A8)</f>
        <v>0</v>
      </c>
      <c r="J8" s="20">
        <f>SUMIFS(Lançamentos!$G$5:$G$124,Lançamentos!$B$5:$B$124,J$3,Lançamentos!$C$5:$C$124,$A8)</f>
        <v>0</v>
      </c>
      <c r="K8" s="20">
        <f>SUMIFS(Lançamentos!$G$5:$G$124,Lançamentos!$B$5:$B$124,K$3,Lançamentos!$C$5:$C$124,$A8)</f>
        <v>0</v>
      </c>
      <c r="L8" s="20">
        <f>SUMIFS(Lançamentos!$G$5:$G$124,Lançamentos!$B$5:$B$124,L$3,Lançamentos!$C$5:$C$124,$A8)</f>
        <v>0</v>
      </c>
      <c r="M8" s="20">
        <f>SUMIFS(Lançamentos!$G$5:$G$124,Lançamentos!$B$5:$B$124,M$3,Lançamentos!$C$5:$C$124,$A8)</f>
        <v>0</v>
      </c>
      <c r="N8" s="14">
        <f>SUM(B8:M8)</f>
        <v>1850</v>
      </c>
      <c r="O8" s="20">
        <f>AVERAGE(B8:M8)</f>
        <v>154.16666666666666</v>
      </c>
    </row>
    <row r="9" ht="22" customHeight="1" spans="1:15" x14ac:dyDescent="0.25">
      <c r="A9" s="5" t="s">
        <v>159</v>
      </c>
      <c r="B9" s="14">
        <f>B5-B6-B7-B8</f>
        <v>1830</v>
      </c>
      <c r="C9" s="14">
        <f>C5-C6-C7-C8</f>
        <v>0</v>
      </c>
      <c r="D9" s="14">
        <f>D5-D6-D7-D8</f>
        <v>0</v>
      </c>
      <c r="E9" s="14">
        <f>E5-E6-E7-E8</f>
        <v>0</v>
      </c>
      <c r="F9" s="14">
        <f>F5-F6-F7-F8</f>
        <v>0</v>
      </c>
      <c r="G9" s="14">
        <f>G5-G6-G7-G8</f>
        <v>0</v>
      </c>
      <c r="H9" s="14">
        <f>H5-H6-H7-H8</f>
        <v>0</v>
      </c>
      <c r="I9" s="14">
        <f>I5-I6-I7-I8</f>
        <v>0</v>
      </c>
      <c r="J9" s="14">
        <f>J5-J6-J7-J8</f>
        <v>0</v>
      </c>
      <c r="K9" s="14">
        <f>K5-K6-K7-K8</f>
        <v>0</v>
      </c>
      <c r="L9" s="14">
        <f>L5-L6-L7-L8</f>
        <v>0</v>
      </c>
      <c r="M9" s="14">
        <f>M5-M6-M7-M8</f>
        <v>0</v>
      </c>
      <c r="N9" s="14">
        <f>SUM(B9:M9)</f>
        <v>1830</v>
      </c>
      <c r="O9" s="20">
        <f>AVERAGE(B9:M9)</f>
        <v>152.5</v>
      </c>
    </row>
    <row r="10" ht="22" customHeight="1" spans="1:15" x14ac:dyDescent="0.25">
      <c r="A10" s="5" t="s">
        <v>160</v>
      </c>
      <c r="B10" s="13">
        <f>IF(B5&gt;0,B8/B5,0)</f>
        <v>0.22560975609756098</v>
      </c>
      <c r="C10" s="13">
        <f>IF(C5&gt;0,C8/C5,0)</f>
        <v>0</v>
      </c>
      <c r="D10" s="13">
        <f>IF(D5&gt;0,D8/D5,0)</f>
        <v>0</v>
      </c>
      <c r="E10" s="13">
        <f>IF(E5&gt;0,E8/E5,0)</f>
        <v>0</v>
      </c>
      <c r="F10" s="13">
        <f>IF(F5&gt;0,F8/F5,0)</f>
        <v>0</v>
      </c>
      <c r="G10" s="13">
        <f>IF(G5&gt;0,G8/G5,0)</f>
        <v>0</v>
      </c>
      <c r="H10" s="13">
        <f>IF(H5&gt;0,H8/H5,0)</f>
        <v>0</v>
      </c>
      <c r="I10" s="13">
        <f>IF(I5&gt;0,I8/I5,0)</f>
        <v>0</v>
      </c>
      <c r="J10" s="13">
        <f>IF(J5&gt;0,J8/J5,0)</f>
        <v>0</v>
      </c>
      <c r="K10" s="13">
        <f>IF(K5&gt;0,K8/K5,0)</f>
        <v>0</v>
      </c>
      <c r="L10" s="13">
        <f>IF(L5&gt;0,L8/L5,0)</f>
        <v>0</v>
      </c>
      <c r="M10" s="13">
        <f>IF(M5&gt;0,M8/M5,0)</f>
        <v>0</v>
      </c>
      <c r="N10" s="13">
        <f>IF(N5&gt;0,N8/N5,0)</f>
        <v>0.22560975609756098</v>
      </c>
      <c r="O10" s="21">
        <f>IF(O5&gt;0,O8/O5,0)</f>
        <v>0.22560975609756098</v>
      </c>
    </row>
  </sheetData>
  <sheetProtection sheet="1" formatColumns="0" formatRows="0" autoFilter="0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C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2" customWidth="1"/>
    <col min="3" max="3" width="44" customWidth="1"/>
  </cols>
  <sheetData>
    <row r="1" ht="32" customHeight="1" spans="1:3" x14ac:dyDescent="0.25">
      <c r="A1" s="1" t="s">
        <v>161</v>
      </c>
      <c r="B1" s="1"/>
      <c r="C1" s="1"/>
    </row>
    <row r="2" ht="22" customHeight="1" spans="1:3" x14ac:dyDescent="0.25">
      <c r="A2" s="2" t="s">
        <v>162</v>
      </c>
      <c r="B2" s="2"/>
      <c r="C2" s="2"/>
    </row>
    <row r="4" ht="26" customHeight="1" spans="1:3" x14ac:dyDescent="0.25">
      <c r="A4" s="3" t="s">
        <v>163</v>
      </c>
      <c r="B4" s="3" t="s">
        <v>164</v>
      </c>
      <c r="C4" s="3" t="s">
        <v>165</v>
      </c>
    </row>
    <row r="5" ht="24" customHeight="1" spans="1:3" x14ac:dyDescent="0.25">
      <c r="A5" s="5" t="s">
        <v>166</v>
      </c>
      <c r="B5" s="11">
        <v>4250</v>
      </c>
      <c r="C5" s="6" t="s">
        <v>167</v>
      </c>
    </row>
    <row r="6" ht="24" customHeight="1" spans="1:3" x14ac:dyDescent="0.25">
      <c r="A6" s="5" t="s">
        <v>168</v>
      </c>
      <c r="B6" s="23">
        <f>Configuração!B15</f>
        <v>6</v>
      </c>
      <c r="C6" s="6" t="s">
        <v>169</v>
      </c>
    </row>
    <row r="7" ht="24" customHeight="1" spans="1:3" x14ac:dyDescent="0.25">
      <c r="A7" s="5" t="s">
        <v>170</v>
      </c>
      <c r="B7" s="14">
        <f>B5*B6</f>
        <v>25500</v>
      </c>
      <c r="C7" s="6" t="s">
        <v>171</v>
      </c>
    </row>
    <row r="8" ht="24" customHeight="1" spans="1:3" x14ac:dyDescent="0.25">
      <c r="A8" s="5" t="s">
        <v>172</v>
      </c>
      <c r="B8" s="11">
        <v>12000</v>
      </c>
      <c r="C8" s="6" t="s">
        <v>173</v>
      </c>
    </row>
    <row r="9" ht="24" customHeight="1" spans="1:3" x14ac:dyDescent="0.25">
      <c r="A9" s="5" t="s">
        <v>174</v>
      </c>
      <c r="B9" s="13">
        <f>IF(B7&gt;0,MIN(1,B8/B7),0)</f>
        <v>0.47058823529411764</v>
      </c>
      <c r="C9" s="6" t="s">
        <v>175</v>
      </c>
    </row>
    <row r="10" ht="24" customHeight="1" spans="1:3" x14ac:dyDescent="0.25">
      <c r="A10" s="5" t="s">
        <v>176</v>
      </c>
      <c r="B10" s="14">
        <f>MAX(0,B7-B8)</f>
        <v>13500</v>
      </c>
      <c r="C10" s="6" t="s">
        <v>177</v>
      </c>
    </row>
    <row r="11" ht="24" customHeight="1" spans="1:3" x14ac:dyDescent="0.25">
      <c r="A11" s="5" t="s">
        <v>178</v>
      </c>
      <c r="B11" s="11">
        <v>1000</v>
      </c>
      <c r="C11" s="6" t="s">
        <v>179</v>
      </c>
    </row>
    <row r="12" ht="24" customHeight="1" spans="1:3" x14ac:dyDescent="0.25">
      <c r="A12" s="5" t="s">
        <v>180</v>
      </c>
      <c r="B12" s="24">
        <f>IF(B10&lt;=0,0,IF(B11&gt;0,B10/B11,0))</f>
        <v>13.5</v>
      </c>
      <c r="C12" s="6" t="s">
        <v>181</v>
      </c>
    </row>
    <row r="13" ht="24" customHeight="1" spans="1:3" x14ac:dyDescent="0.25">
      <c r="A13" s="5" t="s">
        <v>182</v>
      </c>
      <c r="B13" s="4" t="str">
        <f>IF(B8&gt;=B7,"RESERVA 100% COMPLETA!","EM CONSTRUÇÃO — PRIORIDADE Nº 1")</f>
        <v>EM CONSTRUÇÃO — PRIORIDADE Nº 1</v>
      </c>
      <c r="C13" s="6" t="s">
        <v>183</v>
      </c>
    </row>
  </sheetData>
  <sheetProtection sheet="1" formatColumns="0" formatRows="0" autoFilter="0"/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1:H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4" width="20" customWidth="1"/>
    <col min="5" max="5" width="16" customWidth="1"/>
    <col min="6" max="6" width="20" customWidth="1"/>
    <col min="7" max="7" width="16" customWidth="1"/>
    <col min="8" max="8" width="22" customWidth="1"/>
  </cols>
  <sheetData>
    <row r="1" ht="32" customHeight="1" spans="1:8" x14ac:dyDescent="0.25">
      <c r="A1" s="1" t="s">
        <v>184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185</v>
      </c>
      <c r="B2" s="2"/>
      <c r="C2" s="2"/>
      <c r="D2" s="2"/>
      <c r="E2" s="2"/>
      <c r="F2" s="2"/>
      <c r="G2" s="2"/>
      <c r="H2" s="2"/>
    </row>
    <row r="4" ht="26" customHeight="1" spans="1:8" x14ac:dyDescent="0.25">
      <c r="A4" s="3" t="s">
        <v>186</v>
      </c>
      <c r="B4" s="3" t="s">
        <v>187</v>
      </c>
      <c r="C4" s="3" t="s">
        <v>188</v>
      </c>
      <c r="D4" s="3" t="s">
        <v>189</v>
      </c>
      <c r="E4" s="3" t="s">
        <v>190</v>
      </c>
      <c r="F4" s="3" t="s">
        <v>191</v>
      </c>
      <c r="G4" s="3" t="s">
        <v>192</v>
      </c>
      <c r="H4" s="3" t="s">
        <v>193</v>
      </c>
    </row>
    <row r="5" ht="22" customHeight="1" spans="1:8" x14ac:dyDescent="0.25">
      <c r="A5" s="18" t="s">
        <v>194</v>
      </c>
      <c r="B5" s="9" t="s">
        <v>195</v>
      </c>
      <c r="C5" s="11">
        <v>12000</v>
      </c>
      <c r="D5" s="11">
        <v>4500</v>
      </c>
      <c r="E5" s="19">
        <v>10</v>
      </c>
      <c r="F5" s="20">
        <f>MAX(0,C5-D5)</f>
        <v>7500</v>
      </c>
      <c r="G5" s="13">
        <f>IF(C5&gt;0,D5/C5,0)</f>
        <v>0.375</v>
      </c>
      <c r="H5" s="14">
        <f>IF(E5&gt;0,F5/E5,0)</f>
        <v>750</v>
      </c>
    </row>
    <row r="6" ht="22" customHeight="1" spans="1:8" x14ac:dyDescent="0.25">
      <c r="A6" s="18" t="s">
        <v>196</v>
      </c>
      <c r="B6" s="9" t="s">
        <v>143</v>
      </c>
      <c r="C6" s="11">
        <v>7500</v>
      </c>
      <c r="D6" s="11">
        <v>3000</v>
      </c>
      <c r="E6" s="19">
        <v>6</v>
      </c>
      <c r="F6" s="20">
        <f>MAX(0,C6-D6)</f>
        <v>4500</v>
      </c>
      <c r="G6" s="13">
        <f>IF(C6&gt;0,D6/C6,0)</f>
        <v>0.4</v>
      </c>
      <c r="H6" s="14">
        <f>IF(E6&gt;0,F6/E6,0)</f>
        <v>750</v>
      </c>
    </row>
    <row r="7" ht="22" customHeight="1" spans="1:8" x14ac:dyDescent="0.25">
      <c r="A7" s="18" t="s">
        <v>197</v>
      </c>
      <c r="B7" s="9" t="s">
        <v>195</v>
      </c>
      <c r="C7" s="11">
        <v>60000</v>
      </c>
      <c r="D7" s="11">
        <v>18000</v>
      </c>
      <c r="E7" s="19">
        <v>24</v>
      </c>
      <c r="F7" s="20">
        <f>MAX(0,C7-D7)</f>
        <v>42000</v>
      </c>
      <c r="G7" s="13">
        <f>IF(C7&gt;0,D7/C7,0)</f>
        <v>0.3</v>
      </c>
      <c r="H7" s="14">
        <f>IF(E7&gt;0,F7/E7,0)</f>
        <v>1750</v>
      </c>
    </row>
    <row r="8" ht="22" customHeight="1" spans="1:8" x14ac:dyDescent="0.25">
      <c r="A8" s="18" t="s">
        <v>198</v>
      </c>
      <c r="B8" s="9" t="s">
        <v>195</v>
      </c>
      <c r="C8" s="11">
        <v>6000</v>
      </c>
      <c r="D8" s="11">
        <v>2400</v>
      </c>
      <c r="E8" s="19">
        <v>8</v>
      </c>
      <c r="F8" s="20">
        <f>MAX(0,C8-D8)</f>
        <v>3600</v>
      </c>
      <c r="G8" s="13">
        <f>IF(C8&gt;0,D8/C8,0)</f>
        <v>0.4</v>
      </c>
      <c r="H8" s="14">
        <f>IF(E8&gt;0,F8/E8,0)</f>
        <v>450</v>
      </c>
    </row>
    <row r="9" ht="22" customHeight="1" spans="1:8" x14ac:dyDescent="0.25">
      <c r="A9" s="18" t="s">
        <v>199</v>
      </c>
      <c r="B9" s="9" t="s">
        <v>143</v>
      </c>
      <c r="C9" s="11">
        <v>9000</v>
      </c>
      <c r="D9" s="11">
        <v>1500</v>
      </c>
      <c r="E9" s="19">
        <v>12</v>
      </c>
      <c r="F9" s="20">
        <f>MAX(0,C9-D9)</f>
        <v>7500</v>
      </c>
      <c r="G9" s="13">
        <f>IF(C9&gt;0,D9/C9,0)</f>
        <v>0.16666666666666666</v>
      </c>
      <c r="H9" s="14">
        <f>IF(E9&gt;0,F9/E9,0)</f>
        <v>625</v>
      </c>
    </row>
    <row r="10" ht="22" customHeight="1" spans="1:8" x14ac:dyDescent="0.25">
      <c r="A10" s="18" t="s">
        <v>2</v>
      </c>
      <c r="B10" s="9" t="s">
        <v>2</v>
      </c>
      <c r="C10" s="11">
        <v>0</v>
      </c>
      <c r="D10" s="11">
        <v>0</v>
      </c>
      <c r="E10" s="19">
        <v>12</v>
      </c>
      <c r="F10" s="20">
        <f>MAX(0,C10-D10)</f>
        <v>0</v>
      </c>
      <c r="G10" s="13">
        <f>IF(C10&gt;0,D10/C10,0)</f>
        <v>0</v>
      </c>
      <c r="H10" s="14">
        <f>IF(E10&gt;0,F10/E10,0)</f>
        <v>0</v>
      </c>
    </row>
    <row r="11" ht="22" customHeight="1" spans="1:8" x14ac:dyDescent="0.25">
      <c r="A11" s="18" t="s">
        <v>2</v>
      </c>
      <c r="B11" s="9" t="s">
        <v>2</v>
      </c>
      <c r="C11" s="11">
        <v>0</v>
      </c>
      <c r="D11" s="11">
        <v>0</v>
      </c>
      <c r="E11" s="19">
        <v>12</v>
      </c>
      <c r="F11" s="20">
        <f>MAX(0,C11-D11)</f>
        <v>0</v>
      </c>
      <c r="G11" s="13">
        <f>IF(C11&gt;0,D11/C11,0)</f>
        <v>0</v>
      </c>
      <c r="H11" s="14">
        <f>IF(E11&gt;0,F11/E11,0)</f>
        <v>0</v>
      </c>
    </row>
    <row r="12" ht="22" customHeight="1" spans="1:8" x14ac:dyDescent="0.25">
      <c r="A12" s="18" t="s">
        <v>2</v>
      </c>
      <c r="B12" s="9" t="s">
        <v>2</v>
      </c>
      <c r="C12" s="11">
        <v>0</v>
      </c>
      <c r="D12" s="11">
        <v>0</v>
      </c>
      <c r="E12" s="19">
        <v>12</v>
      </c>
      <c r="F12" s="20">
        <f>MAX(0,C12-D12)</f>
        <v>0</v>
      </c>
      <c r="G12" s="13">
        <f>IF(C12&gt;0,D12/C12,0)</f>
        <v>0</v>
      </c>
      <c r="H12" s="14">
        <f>IF(E12&gt;0,F12/E12,0)</f>
        <v>0</v>
      </c>
    </row>
    <row r="13" ht="22" customHeight="1" spans="1:8" x14ac:dyDescent="0.25">
      <c r="A13" s="18" t="s">
        <v>2</v>
      </c>
      <c r="B13" s="9" t="s">
        <v>2</v>
      </c>
      <c r="C13" s="11">
        <v>0</v>
      </c>
      <c r="D13" s="11">
        <v>0</v>
      </c>
      <c r="E13" s="19">
        <v>12</v>
      </c>
      <c r="F13" s="20">
        <f>MAX(0,C13-D13)</f>
        <v>0</v>
      </c>
      <c r="G13" s="13">
        <f>IF(C13&gt;0,D13/C13,0)</f>
        <v>0</v>
      </c>
      <c r="H13" s="14">
        <f>IF(E13&gt;0,F13/E13,0)</f>
        <v>0</v>
      </c>
    </row>
    <row r="14" ht="22" customHeight="1" spans="1:8" x14ac:dyDescent="0.25">
      <c r="A14" s="18" t="s">
        <v>2</v>
      </c>
      <c r="B14" s="9" t="s">
        <v>2</v>
      </c>
      <c r="C14" s="11">
        <v>0</v>
      </c>
      <c r="D14" s="11">
        <v>0</v>
      </c>
      <c r="E14" s="19">
        <v>12</v>
      </c>
      <c r="F14" s="20">
        <f>MAX(0,C14-D14)</f>
        <v>0</v>
      </c>
      <c r="G14" s="13">
        <f>IF(C14&gt;0,D14/C14,0)</f>
        <v>0</v>
      </c>
      <c r="H14" s="14">
        <f>IF(E14&gt;0,F14/E14,0)</f>
        <v>0</v>
      </c>
    </row>
  </sheetData>
  <sheetProtection sheet="1" formatColumns="0" formatRows="0" autoFilter="0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3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22" customWidth="1"/>
    <col min="4" max="4" width="24" customWidth="1"/>
    <col min="5" max="5" width="22" customWidth="1"/>
    <col min="6" max="8" width="24" customWidth="1"/>
  </cols>
  <sheetData>
    <row r="1" ht="32" customHeight="1" spans="1:8" x14ac:dyDescent="0.25">
      <c r="A1" s="1" t="s">
        <v>200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201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5" t="s">
        <v>202</v>
      </c>
      <c r="B4" s="14">
        <f>Configuração!B16</f>
        <v>25000</v>
      </c>
      <c r="C4" s="15" t="s">
        <v>203</v>
      </c>
      <c r="D4" s="14">
        <f>Configuração!B17</f>
        <v>1700</v>
      </c>
      <c r="E4" s="15" t="s">
        <v>204</v>
      </c>
      <c r="F4" s="13">
        <f>Configuração!B11</f>
        <v>0.12</v>
      </c>
      <c r="G4" s="15" t="s">
        <v>205</v>
      </c>
      <c r="H4" s="13">
        <f>Configuração!B13</f>
        <v>0.07177033492822993</v>
      </c>
    </row>
    <row r="5" ht="26" customHeight="1" spans="1:8" x14ac:dyDescent="0.25">
      <c r="A5" s="3" t="s">
        <v>206</v>
      </c>
      <c r="B5" s="3" t="s">
        <v>207</v>
      </c>
      <c r="C5" s="3" t="s">
        <v>208</v>
      </c>
      <c r="D5" s="3" t="s">
        <v>209</v>
      </c>
      <c r="E5" s="3" t="s">
        <v>210</v>
      </c>
      <c r="F5" s="3" t="s">
        <v>211</v>
      </c>
      <c r="G5" s="3" t="s">
        <v>212</v>
      </c>
      <c r="H5" s="3" t="s">
        <v>213</v>
      </c>
    </row>
    <row r="6" ht="20" customHeight="1" spans="1:8" x14ac:dyDescent="0.25">
      <c r="A6" s="17">
        <v>1</v>
      </c>
      <c r="B6" s="22">
        <f>Configuração!$B$5+A6</f>
        <v>2027</v>
      </c>
      <c r="C6" s="20">
        <f>Configuração!$B$16+(Configuração!$B$17*12*A6)</f>
        <v>45400</v>
      </c>
      <c r="D6" s="14">
        <f>Configuração!$B$16*(1+Configuração!$B$11)+(Configuração!$B$17*12)</f>
        <v>48400</v>
      </c>
      <c r="E6" s="20">
        <f>D6-C6</f>
        <v>3000</v>
      </c>
      <c r="F6" s="14">
        <f>Configuração!$B$16*(1+Configuração!$B$13)+(Configuração!$B$17*12)</f>
        <v>47194.25837320575</v>
      </c>
      <c r="G6" s="14">
        <f>(F6*Configuração!$B$14)/12</f>
        <v>235.97129186602874</v>
      </c>
      <c r="H6" s="7" t="str">
        <f>IF(D6&gt;=Configuração!$B$18,"1º MILHÃO ALCANÇADO!","Acumulando...")</f>
        <v>Acumulando...</v>
      </c>
    </row>
    <row r="7" ht="20" customHeight="1" spans="1:8" x14ac:dyDescent="0.25">
      <c r="A7" s="17">
        <v>2</v>
      </c>
      <c r="B7" s="22">
        <f>Configuração!$B$5+A7</f>
        <v>2028</v>
      </c>
      <c r="C7" s="20">
        <f>Configuração!$B$16+(Configuração!$B$17*12*A7)</f>
        <v>65800</v>
      </c>
      <c r="D7" s="14">
        <f>D6*(1+Configuração!$B$11)+(Configuração!$B$17*12)</f>
        <v>74608</v>
      </c>
      <c r="E7" s="20">
        <f>D7-C7</f>
        <v>8808</v>
      </c>
      <c r="F7" s="14">
        <f>F6*(1+Configuração!$B$13)+(Configuração!$B$17*12)</f>
        <v>70981.40610334015</v>
      </c>
      <c r="G7" s="14">
        <f>(F7*Configuração!$B$14)/12</f>
        <v>354.9070305167008</v>
      </c>
      <c r="H7" s="7" t="str">
        <f>IF(D7&gt;=Configuração!$B$18,"1º MILHÃO ALCANÇADO!","Acumulando...")</f>
        <v>Acumulando...</v>
      </c>
    </row>
    <row r="8" ht="20" customHeight="1" spans="1:8" x14ac:dyDescent="0.25">
      <c r="A8" s="17">
        <v>3</v>
      </c>
      <c r="B8" s="22">
        <f>Configuração!$B$5+A8</f>
        <v>2029</v>
      </c>
      <c r="C8" s="20">
        <f>Configuração!$B$16+(Configuração!$B$17*12*A8)</f>
        <v>86200</v>
      </c>
      <c r="D8" s="14">
        <f>D7*(1+Configuração!$B$11)+(Configuração!$B$17*12)</f>
        <v>103960.96</v>
      </c>
      <c r="E8" s="20">
        <f>D8-C8</f>
        <v>17760.960000000006</v>
      </c>
      <c r="F8" s="14">
        <f>F7*(1+Configuração!$B$13)+(Configuração!$B$17*12)</f>
        <v>96475.76539305357</v>
      </c>
      <c r="G8" s="14">
        <f>(F8*Configuração!$B$14)/12</f>
        <v>482.3788269652678</v>
      </c>
      <c r="H8" s="7" t="str">
        <f>IF(D8&gt;=Configuração!$B$18,"1º MILHÃO ALCANÇADO!","Acumulando...")</f>
        <v>Acumulando...</v>
      </c>
    </row>
    <row r="9" ht="20" customHeight="1" spans="1:8" x14ac:dyDescent="0.25">
      <c r="A9" s="17">
        <v>4</v>
      </c>
      <c r="B9" s="22">
        <f>Configuração!$B$5+A9</f>
        <v>2030</v>
      </c>
      <c r="C9" s="20">
        <f>Configuração!$B$16+(Configuração!$B$17*12*A9)</f>
        <v>106600</v>
      </c>
      <c r="D9" s="14">
        <f>D8*(1+Configuração!$B$11)+(Configuração!$B$17*12)</f>
        <v>136836.27520000003</v>
      </c>
      <c r="E9" s="20">
        <f>D9-C9</f>
        <v>30236.275200000033</v>
      </c>
      <c r="F9" s="14">
        <f>F8*(1+Configuração!$B$13)+(Configuração!$B$17*12)</f>
        <v>123799.86338777037</v>
      </c>
      <c r="G9" s="14">
        <f>(F9*Configuração!$B$14)/12</f>
        <v>618.9993169388518</v>
      </c>
      <c r="H9" s="7" t="str">
        <f>IF(D9&gt;=Configuração!$B$18,"1º MILHÃO ALCANÇADO!","Acumulando...")</f>
        <v>Acumulando...</v>
      </c>
    </row>
    <row r="10" ht="20" customHeight="1" spans="1:8" x14ac:dyDescent="0.25">
      <c r="A10" s="17">
        <v>5</v>
      </c>
      <c r="B10" s="22">
        <f>Configuração!$B$5+A10</f>
        <v>2031</v>
      </c>
      <c r="C10" s="20">
        <f>Configuração!$B$16+(Configuração!$B$17*12*A10)</f>
        <v>127000</v>
      </c>
      <c r="D10" s="14">
        <f>D9*(1+Configuração!$B$11)+(Configuração!$B$17*12)</f>
        <v>173656.62822400004</v>
      </c>
      <c r="E10" s="20">
        <f>D10-C10</f>
        <v>46656.628224000044</v>
      </c>
      <c r="F10" s="14">
        <f>F9*(1+Configuração!$B$13)+(Configuração!$B$17*12)</f>
        <v>153085.02104717976</v>
      </c>
      <c r="G10" s="14">
        <f>(F10*Configuração!$B$14)/12</f>
        <v>765.4251052358987</v>
      </c>
      <c r="H10" s="7" t="str">
        <f>IF(D10&gt;=Configuração!$B$18,"1º MILHÃO ALCANÇADO!","Acumulando...")</f>
        <v>Acumulando...</v>
      </c>
    </row>
    <row r="11" ht="20" customHeight="1" spans="1:8" x14ac:dyDescent="0.25">
      <c r="A11" s="17">
        <v>6</v>
      </c>
      <c r="B11" s="22">
        <f>Configuração!$B$5+A11</f>
        <v>2032</v>
      </c>
      <c r="C11" s="20">
        <f>Configuração!$B$16+(Configuração!$B$17*12*A11)</f>
        <v>147400</v>
      </c>
      <c r="D11" s="14">
        <f>D10*(1+Configuração!$B$11)+(Configuração!$B$17*12)</f>
        <v>214895.42361088007</v>
      </c>
      <c r="E11" s="20">
        <f>D11-C11</f>
        <v>67495.42361088007</v>
      </c>
      <c r="F11" s="14">
        <f>F10*(1+Configuração!$B$13)+(Configuração!$B$17*12)</f>
        <v>184471.98428023097</v>
      </c>
      <c r="G11" s="14">
        <f>(F11*Configuração!$B$14)/12</f>
        <v>922.3599214011548</v>
      </c>
      <c r="H11" s="7" t="str">
        <f>IF(D11&gt;=Configuração!$B$18,"1º MILHÃO ALCANÇADO!","Acumulando...")</f>
        <v>Acumulando...</v>
      </c>
    </row>
    <row r="12" ht="20" customHeight="1" spans="1:8" x14ac:dyDescent="0.25">
      <c r="A12" s="17">
        <v>7</v>
      </c>
      <c r="B12" s="22">
        <f>Configuração!$B$5+A12</f>
        <v>2033</v>
      </c>
      <c r="C12" s="20">
        <f>Configuração!$B$16+(Configuração!$B$17*12*A12)</f>
        <v>167800</v>
      </c>
      <c r="D12" s="14">
        <f>D11*(1+Configuração!$B$11)+(Configuração!$B$17*12)</f>
        <v>261082.8744441857</v>
      </c>
      <c r="E12" s="20">
        <f>D12-C12</f>
        <v>93282.8744441857</v>
      </c>
      <c r="F12" s="14">
        <f>F11*(1+Configuração!$B$13)+(Configuração!$B$17*12)</f>
        <v>218111.6003768983</v>
      </c>
      <c r="G12" s="14">
        <f>(F12*Configuração!$B$14)/12</f>
        <v>1090.5580018844914</v>
      </c>
      <c r="H12" s="7" t="str">
        <f>IF(D12&gt;=Configuração!$B$18,"1º MILHÃO ALCANÇADO!","Acumulando...")</f>
        <v>Acumulando...</v>
      </c>
    </row>
    <row r="13" ht="20" customHeight="1" spans="1:8" x14ac:dyDescent="0.25">
      <c r="A13" s="17">
        <v>8</v>
      </c>
      <c r="B13" s="22">
        <f>Configuração!$B$5+A13</f>
        <v>2034</v>
      </c>
      <c r="C13" s="20">
        <f>Configuração!$B$16+(Configuração!$B$17*12*A13)</f>
        <v>188200</v>
      </c>
      <c r="D13" s="14">
        <f>D12*(1+Configuração!$B$11)+(Configuração!$B$17*12)</f>
        <v>312812.819377488</v>
      </c>
      <c r="E13" s="20">
        <f>D13-C13</f>
        <v>124612.81937748799</v>
      </c>
      <c r="F13" s="14">
        <f>F12*(1+Configuração!$B$13)+(Configuração!$B$17*12)</f>
        <v>254165.54298768053</v>
      </c>
      <c r="G13" s="14">
        <f>(F13*Configuração!$B$14)/12</f>
        <v>1270.8277149384026</v>
      </c>
      <c r="H13" s="7" t="str">
        <f>IF(D13&gt;=Configuração!$B$18,"1º MILHÃO ALCANÇADO!","Acumulando...")</f>
        <v>Acumulando...</v>
      </c>
    </row>
    <row r="14" ht="20" customHeight="1" spans="1:8" x14ac:dyDescent="0.25">
      <c r="A14" s="17">
        <v>9</v>
      </c>
      <c r="B14" s="22">
        <f>Configuração!$B$5+A14</f>
        <v>2035</v>
      </c>
      <c r="C14" s="20">
        <f>Configuração!$B$16+(Configuração!$B$17*12*A14)</f>
        <v>208600</v>
      </c>
      <c r="D14" s="14">
        <f>D13*(1+Configuração!$B$11)+(Configuração!$B$17*12)</f>
        <v>370750.35770278657</v>
      </c>
      <c r="E14" s="20">
        <f>D14-C14</f>
        <v>162150.35770278657</v>
      </c>
      <c r="F14" s="14">
        <f>F13*(1+Configuração!$B$13)+(Configuração!$B$17*12)</f>
        <v>292807.0891351218</v>
      </c>
      <c r="G14" s="14">
        <f>(F14*Configuração!$B$14)/12</f>
        <v>1464.0354456756088</v>
      </c>
      <c r="H14" s="7" t="str">
        <f>IF(D14&gt;=Configuração!$B$18,"1º MILHÃO ALCANÇADO!","Acumulando...")</f>
        <v>Acumulando...</v>
      </c>
    </row>
    <row r="15" ht="20" customHeight="1" spans="1:8" x14ac:dyDescent="0.25">
      <c r="A15" s="17">
        <v>10</v>
      </c>
      <c r="B15" s="22">
        <f>Configuração!$B$5+A15</f>
        <v>2036</v>
      </c>
      <c r="C15" s="20">
        <f>Configuração!$B$16+(Configuração!$B$17*12*A15)</f>
        <v>229000</v>
      </c>
      <c r="D15" s="14">
        <f>D14*(1+Configuração!$B$11)+(Configuração!$B$17*12)</f>
        <v>435640.400627121</v>
      </c>
      <c r="E15" s="20">
        <f>D15-C15</f>
        <v>206640.40062712098</v>
      </c>
      <c r="F15" s="14">
        <f>F14*(1+Configuração!$B$13)+(Configuração!$B$17*12)</f>
        <v>334221.95199170953</v>
      </c>
      <c r="G15" s="14">
        <f>(F15*Configuração!$B$14)/12</f>
        <v>1671.1097599585476</v>
      </c>
      <c r="H15" s="7" t="str">
        <f>IF(D15&gt;=Configuração!$B$18,"1º MILHÃO ALCANÇADO!","Acumulando...")</f>
        <v>Acumulando...</v>
      </c>
    </row>
    <row r="16" ht="20" customHeight="1" spans="1:8" x14ac:dyDescent="0.25">
      <c r="A16" s="17">
        <v>11</v>
      </c>
      <c r="B16" s="22">
        <f>Configuração!$B$5+A16</f>
        <v>2037</v>
      </c>
      <c r="C16" s="20">
        <f>Configuração!$B$16+(Configuração!$B$17*12*A16)</f>
        <v>249400</v>
      </c>
      <c r="D16" s="14">
        <f>D15*(1+Configuração!$B$11)+(Configuração!$B$17*12)</f>
        <v>508317.24870237557</v>
      </c>
      <c r="E16" s="20">
        <f>D16-C16</f>
        <v>258917.24870237557</v>
      </c>
      <c r="F16" s="14">
        <f>F15*(1+Configuração!$B$13)+(Configuração!$B$17*12)</f>
        <v>378609.1734265213</v>
      </c>
      <c r="G16" s="14">
        <f>(F16*Configuração!$B$14)/12</f>
        <v>1893.0458671326066</v>
      </c>
      <c r="H16" s="7" t="str">
        <f>IF(D16&gt;=Configuração!$B$18,"1º MILHÃO ALCANÇADO!","Acumulando...")</f>
        <v>Acumulando...</v>
      </c>
    </row>
    <row r="17" ht="20" customHeight="1" spans="1:8" x14ac:dyDescent="0.25">
      <c r="A17" s="17">
        <v>12</v>
      </c>
      <c r="B17" s="22">
        <f>Configuração!$B$5+A17</f>
        <v>2038</v>
      </c>
      <c r="C17" s="20">
        <f>Configuração!$B$16+(Configuração!$B$17*12*A17)</f>
        <v>269800</v>
      </c>
      <c r="D17" s="14">
        <f>D16*(1+Configuração!$B$11)+(Configuração!$B$17*12)</f>
        <v>589715.3185466607</v>
      </c>
      <c r="E17" s="20">
        <f>D17-C17</f>
        <v>319915.3185466607</v>
      </c>
      <c r="F17" s="14">
        <f>F16*(1+Configuração!$B$13)+(Configuração!$B$17*12)</f>
        <v>426182.080610243</v>
      </c>
      <c r="G17" s="14">
        <f>(F17*Configuração!$B$14)/12</f>
        <v>2130.910403051215</v>
      </c>
      <c r="H17" s="7" t="str">
        <f>IF(D17&gt;=Configuração!$B$18,"1º MILHÃO ALCANÇADO!","Acumulando...")</f>
        <v>Acumulando...</v>
      </c>
    </row>
    <row r="18" ht="20" customHeight="1" spans="1:8" x14ac:dyDescent="0.25">
      <c r="A18" s="17">
        <v>13</v>
      </c>
      <c r="B18" s="22">
        <f>Configuração!$B$5+A18</f>
        <v>2039</v>
      </c>
      <c r="C18" s="20">
        <f>Configuração!$B$16+(Configuração!$B$17*12*A18)</f>
        <v>290200</v>
      </c>
      <c r="D18" s="14">
        <f>D17*(1+Configuração!$B$11)+(Configuração!$B$17*12)</f>
        <v>680881.1567722601</v>
      </c>
      <c r="E18" s="20">
        <f>D18-C18</f>
        <v>390681.1567722601</v>
      </c>
      <c r="F18" s="14">
        <f>F17*(1+Configuração!$B$13)+(Configuração!$B$17*12)</f>
        <v>477169.31127605005</v>
      </c>
      <c r="G18" s="14">
        <f>(F18*Configuração!$B$14)/12</f>
        <v>2385.84655638025</v>
      </c>
      <c r="H18" s="7" t="str">
        <f>IF(D18&gt;=Configuração!$B$18,"1º MILHÃO ALCANÇADO!","Acumulando...")</f>
        <v>Acumulando...</v>
      </c>
    </row>
    <row r="19" ht="20" customHeight="1" spans="1:8" x14ac:dyDescent="0.25">
      <c r="A19" s="17">
        <v>14</v>
      </c>
      <c r="B19" s="22">
        <f>Configuração!$B$5+A19</f>
        <v>2040</v>
      </c>
      <c r="C19" s="20">
        <f>Configuração!$B$16+(Configuração!$B$17*12*A19)</f>
        <v>310600</v>
      </c>
      <c r="D19" s="14">
        <f>D18*(1+Configuração!$B$11)+(Configuração!$B$17*12)</f>
        <v>782986.8955849314</v>
      </c>
      <c r="E19" s="20">
        <f>D19-C19</f>
        <v>472386.89558493136</v>
      </c>
      <c r="F19" s="14">
        <f>F18*(1+Configuração!$B$13)+(Configuração!$B$17*12)</f>
        <v>531815.912563805</v>
      </c>
      <c r="G19" s="14">
        <f>(F19*Configuração!$B$14)/12</f>
        <v>2659.079562819025</v>
      </c>
      <c r="H19" s="7" t="str">
        <f>IF(D19&gt;=Configuração!$B$18,"1º MILHÃO ALCANÇADO!","Acumulando...")</f>
        <v>Acumulando...</v>
      </c>
    </row>
    <row r="20" ht="20" customHeight="1" spans="1:8" x14ac:dyDescent="0.25">
      <c r="A20" s="17">
        <v>15</v>
      </c>
      <c r="B20" s="22">
        <f>Configuração!$B$5+A20</f>
        <v>2041</v>
      </c>
      <c r="C20" s="20">
        <f>Configuração!$B$16+(Configuração!$B$17*12*A20)</f>
        <v>331000</v>
      </c>
      <c r="D20" s="14">
        <f>D19*(1+Configuração!$B$11)+(Configuração!$B$17*12)</f>
        <v>897345.3230551232</v>
      </c>
      <c r="E20" s="20">
        <f>D20-C20</f>
        <v>566345.3230551232</v>
      </c>
      <c r="F20" s="14">
        <f>F19*(1+Configuração!$B$13)+(Configuração!$B$17*12)</f>
        <v>590384.5187286715</v>
      </c>
      <c r="G20" s="14">
        <f>(F20*Configuração!$B$14)/12</f>
        <v>2951.9225936433572</v>
      </c>
      <c r="H20" s="7" t="str">
        <f>IF(D20&gt;=Configuração!$B$18,"1º MILHÃO ALCANÇADO!","Acumulando...")</f>
        <v>Acumulando...</v>
      </c>
    </row>
    <row r="21" ht="20" customHeight="1" spans="1:8" x14ac:dyDescent="0.25">
      <c r="A21" s="17">
        <v>16</v>
      </c>
      <c r="B21" s="22">
        <f>Configuração!$B$5+A21</f>
        <v>2042</v>
      </c>
      <c r="C21" s="20">
        <f>Configuração!$B$16+(Configuração!$B$17*12*A21)</f>
        <v>351400</v>
      </c>
      <c r="D21" s="14">
        <f>D20*(1+Configuração!$B$11)+(Configuração!$B$17*12)</f>
        <v>1025426.7618217381</v>
      </c>
      <c r="E21" s="20">
        <f>D21-C21</f>
        <v>674026.7618217381</v>
      </c>
      <c r="F21" s="14">
        <f>F20*(1+Configuração!$B$13)+(Configuração!$B$17*12)</f>
        <v>653156.61337427</v>
      </c>
      <c r="G21" s="14">
        <f>(F21*Configuração!$B$14)/12</f>
        <v>3265.78306687135</v>
      </c>
      <c r="H21" s="4" t="str">
        <f>IF(D21&gt;=Configuração!$B$18,"1º MILHÃO ALCANÇADO!","Acumulando...")</f>
        <v>1º MILHÃO ALCANÇADO!</v>
      </c>
    </row>
    <row r="22" ht="20" customHeight="1" spans="1:8" x14ac:dyDescent="0.25">
      <c r="A22" s="17">
        <v>17</v>
      </c>
      <c r="B22" s="22">
        <f>Configuração!$B$5+A22</f>
        <v>2043</v>
      </c>
      <c r="C22" s="20">
        <f>Configuração!$B$16+(Configuração!$B$17*12*A22)</f>
        <v>371800</v>
      </c>
      <c r="D22" s="14">
        <f>D21*(1+Configuração!$B$11)+(Configuração!$B$17*12)</f>
        <v>1168877.9732403469</v>
      </c>
      <c r="E22" s="20">
        <f>D22-C22</f>
        <v>797077.9732403469</v>
      </c>
      <c r="F22" s="14">
        <f>F21*(1+Configuração!$B$13)+(Configuração!$B$17*12)</f>
        <v>720433.8822767298</v>
      </c>
      <c r="G22" s="14">
        <f>(F22*Configuração!$B$14)/12</f>
        <v>3602.169411383649</v>
      </c>
      <c r="H22" s="4" t="str">
        <f>IF(D22&gt;=Configuração!$B$18,"1º MILHÃO ALCANÇADO!","Acumulando...")</f>
        <v>1º MILHÃO ALCANÇADO!</v>
      </c>
    </row>
    <row r="23" ht="20" customHeight="1" spans="1:8" x14ac:dyDescent="0.25">
      <c r="A23" s="17">
        <v>18</v>
      </c>
      <c r="B23" s="22">
        <f>Configuração!$B$5+A23</f>
        <v>2044</v>
      </c>
      <c r="C23" s="20">
        <f>Configuração!$B$16+(Configuração!$B$17*12*A23)</f>
        <v>392200</v>
      </c>
      <c r="D23" s="14">
        <f>D22*(1+Configuração!$B$11)+(Configuração!$B$17*12)</f>
        <v>1329543.3300291887</v>
      </c>
      <c r="E23" s="20">
        <f>D23-C23</f>
        <v>937343.3300291887</v>
      </c>
      <c r="F23" s="14">
        <f>F22*(1+Configuração!$B$13)+(Configuração!$B$17*12)</f>
        <v>792539.6633013757</v>
      </c>
      <c r="G23" s="14">
        <f>(F23*Configuração!$B$14)/12</f>
        <v>3962.698316506878</v>
      </c>
      <c r="H23" s="4" t="str">
        <f>IF(D23&gt;=Configuração!$B$18,"1º MILHÃO ALCANÇADO!","Acumulando...")</f>
        <v>1º MILHÃO ALCANÇADO!</v>
      </c>
    </row>
    <row r="24" ht="20" customHeight="1" spans="1:8" x14ac:dyDescent="0.25">
      <c r="A24" s="17">
        <v>19</v>
      </c>
      <c r="B24" s="22">
        <f>Configuração!$B$5+A24</f>
        <v>2045</v>
      </c>
      <c r="C24" s="20">
        <f>Configuração!$B$16+(Configuração!$B$17*12*A24)</f>
        <v>412600</v>
      </c>
      <c r="D24" s="14">
        <f>D23*(1+Configuração!$B$11)+(Configuração!$B$17*12)</f>
        <v>1509488.5296326915</v>
      </c>
      <c r="E24" s="20">
        <f>D24-C24</f>
        <v>1096888.5296326915</v>
      </c>
      <c r="F24" s="14">
        <f>F23*(1+Configuração!$B$13)+(Configuração!$B$17*12)</f>
        <v>869820.500380422</v>
      </c>
      <c r="G24" s="14">
        <f>(F24*Configuração!$B$14)/12</f>
        <v>4349.10250190211</v>
      </c>
      <c r="H24" s="4" t="str">
        <f>IF(D24&gt;=Configuração!$B$18,"1º MILHÃO ALCANÇADO!","Acumulando...")</f>
        <v>1º MILHÃO ALCANÇADO!</v>
      </c>
    </row>
    <row r="25" ht="20" customHeight="1" spans="1:8" x14ac:dyDescent="0.25">
      <c r="A25" s="17">
        <v>20</v>
      </c>
      <c r="B25" s="22">
        <f>Configuração!$B$5+A25</f>
        <v>2046</v>
      </c>
      <c r="C25" s="20">
        <f>Configuração!$B$16+(Configuração!$B$17*12*A25)</f>
        <v>433000</v>
      </c>
      <c r="D25" s="14">
        <f>D24*(1+Configuração!$B$11)+(Configuração!$B$17*12)</f>
        <v>1711027.1531886146</v>
      </c>
      <c r="E25" s="20">
        <f>D25-C25</f>
        <v>1278027.1531886146</v>
      </c>
      <c r="F25" s="14">
        <f>F24*(1+Configuração!$B$13)+(Configuração!$B$17*12)</f>
        <v>952647.8090201655</v>
      </c>
      <c r="G25" s="14">
        <f>(F25*Configuração!$B$14)/12</f>
        <v>4763.239045100828</v>
      </c>
      <c r="H25" s="4" t="str">
        <f>IF(D25&gt;=Configuração!$B$18,"1º MILHÃO ALCANÇADO!","Acumulando...")</f>
        <v>1º MILHÃO ALCANÇADO!</v>
      </c>
    </row>
    <row r="26" ht="20" customHeight="1" spans="1:8" x14ac:dyDescent="0.25">
      <c r="A26" s="17">
        <v>21</v>
      </c>
      <c r="B26" s="22">
        <f>Configuração!$B$5+A26</f>
        <v>2047</v>
      </c>
      <c r="C26" s="20">
        <f>Configuração!$B$16+(Configuração!$B$17*12*A26)</f>
        <v>453400</v>
      </c>
      <c r="D26" s="14">
        <f>D25*(1+Configuração!$B$11)+(Configuração!$B$17*12)</f>
        <v>1936750.4115712487</v>
      </c>
      <c r="E26" s="20">
        <f>D26-C26</f>
        <v>1483350.4115712487</v>
      </c>
      <c r="F26" s="14">
        <f>F25*(1+Configuração!$B$13)+(Configuração!$B$17*12)</f>
        <v>1041419.6613421872</v>
      </c>
      <c r="G26" s="14">
        <f>(F26*Configuração!$B$14)/12</f>
        <v>5207.098306710936</v>
      </c>
      <c r="H26" s="4" t="str">
        <f>IF(D26&gt;=Configuração!$B$18,"1º MILHÃO ALCANÇADO!","Acumulando...")</f>
        <v>1º MILHÃO ALCANÇADO!</v>
      </c>
    </row>
    <row r="27" ht="20" customHeight="1" spans="1:8" x14ac:dyDescent="0.25">
      <c r="A27" s="17">
        <v>22</v>
      </c>
      <c r="B27" s="22">
        <f>Configuração!$B$5+A27</f>
        <v>2048</v>
      </c>
      <c r="C27" s="20">
        <f>Configuração!$B$16+(Configuração!$B$17*12*A27)</f>
        <v>473800</v>
      </c>
      <c r="D27" s="14">
        <f>D26*(1+Configuração!$B$11)+(Configuração!$B$17*12)</f>
        <v>2189560.4609597987</v>
      </c>
      <c r="E27" s="20">
        <f>D27-C27</f>
        <v>1715760.4609597987</v>
      </c>
      <c r="F27" s="14">
        <f>F26*(1+Configuração!$B$13)+(Configuração!$B$17*12)</f>
        <v>1136562.6992375597</v>
      </c>
      <c r="G27" s="14">
        <f>(F27*Configuração!$B$14)/12</f>
        <v>5682.813496187799</v>
      </c>
      <c r="H27" s="4" t="str">
        <f>IF(D27&gt;=Configuração!$B$18,"1º MILHÃO ALCANÇADO!","Acumulando...")</f>
        <v>1º MILHÃO ALCANÇADO!</v>
      </c>
    </row>
    <row r="28" ht="20" customHeight="1" spans="1:8" x14ac:dyDescent="0.25">
      <c r="A28" s="17">
        <v>23</v>
      </c>
      <c r="B28" s="22">
        <f>Configuração!$B$5+A28</f>
        <v>2049</v>
      </c>
      <c r="C28" s="20">
        <f>Configuração!$B$16+(Configuração!$B$17*12*A28)</f>
        <v>494200</v>
      </c>
      <c r="D28" s="14">
        <f>D27*(1+Configuração!$B$11)+(Configuração!$B$17*12)</f>
        <v>2472707.716274975</v>
      </c>
      <c r="E28" s="20">
        <f>D28-C28</f>
        <v>1978507.7162749749</v>
      </c>
      <c r="F28" s="14">
        <f>F27*(1+Configuração!$B$13)+(Configuração!$B$17*12)</f>
        <v>1238534.1848287724</v>
      </c>
      <c r="G28" s="14">
        <f>(F28*Configuração!$B$14)/12</f>
        <v>6192.670924143862</v>
      </c>
      <c r="H28" s="4" t="str">
        <f>IF(D28&gt;=Configuração!$B$18,"1º MILHÃO ALCANÇADO!","Acumulando...")</f>
        <v>1º MILHÃO ALCANÇADO!</v>
      </c>
    </row>
    <row r="29" ht="20" customHeight="1" spans="1:8" x14ac:dyDescent="0.25">
      <c r="A29" s="17">
        <v>24</v>
      </c>
      <c r="B29" s="22">
        <f>Configuração!$B$5+A29</f>
        <v>2050</v>
      </c>
      <c r="C29" s="20">
        <f>Configuração!$B$16+(Configuração!$B$17*12*A29)</f>
        <v>514600</v>
      </c>
      <c r="D29" s="14">
        <f>D28*(1+Configuração!$B$11)+(Configuração!$B$17*12)</f>
        <v>2789832.642227972</v>
      </c>
      <c r="E29" s="20">
        <f>D29-C29</f>
        <v>2275232.642227972</v>
      </c>
      <c r="F29" s="14">
        <f>F28*(1+Configuração!$B$13)+(Configuração!$B$17*12)</f>
        <v>1347824.1980939957</v>
      </c>
      <c r="G29" s="14">
        <f>(F29*Configuração!$B$14)/12</f>
        <v>6739.120990469978</v>
      </c>
      <c r="H29" s="4" t="str">
        <f>IF(D29&gt;=Configuração!$B$18,"1º MILHÃO ALCANÇADO!","Acumulando...")</f>
        <v>1º MILHÃO ALCANÇADO!</v>
      </c>
    </row>
    <row r="30" ht="20" customHeight="1" spans="1:8" x14ac:dyDescent="0.25">
      <c r="A30" s="17">
        <v>25</v>
      </c>
      <c r="B30" s="22">
        <f>Configuração!$B$5+A30</f>
        <v>2051</v>
      </c>
      <c r="C30" s="20">
        <f>Configuração!$B$16+(Configuração!$B$17*12*A30)</f>
        <v>535000</v>
      </c>
      <c r="D30" s="14">
        <f>D29*(1+Configuração!$B$11)+(Configuração!$B$17*12)</f>
        <v>3145012.559295329</v>
      </c>
      <c r="E30" s="20">
        <f>D30-C30</f>
        <v>2610012.559295329</v>
      </c>
      <c r="F30" s="14">
        <f>F29*(1+Configuração!$B$13)+(Configuração!$B$17*12)</f>
        <v>1464957.9922155747</v>
      </c>
      <c r="G30" s="14">
        <f>(F30*Configuração!$B$14)/12</f>
        <v>7324.789961077873</v>
      </c>
      <c r="H30" s="4" t="str">
        <f>IF(D30&gt;=Configuração!$B$18,"1º MILHÃO ALCANÇADO!","Acumulando...")</f>
        <v>1º MILHÃO ALCANÇADO!</v>
      </c>
    </row>
    <row r="31" ht="20" customHeight="1" spans="1:8" x14ac:dyDescent="0.25">
      <c r="A31" s="17">
        <v>26</v>
      </c>
      <c r="B31" s="22">
        <f>Configuração!$B$5+A31</f>
        <v>2052</v>
      </c>
      <c r="C31" s="20">
        <f>Configuração!$B$16+(Configuração!$B$17*12*A31)</f>
        <v>555400</v>
      </c>
      <c r="D31" s="14">
        <f>D30*(1+Configuração!$B$11)+(Configuração!$B$17*12)</f>
        <v>3542814.066410769</v>
      </c>
      <c r="E31" s="20">
        <f>D31-C31</f>
        <v>2987414.066410769</v>
      </c>
      <c r="F31" s="14">
        <f>F30*(1+Configuração!$B$13)+(Configuração!$B$17*12)</f>
        <v>1590498.5179726738</v>
      </c>
      <c r="G31" s="14">
        <f>(F31*Configuração!$B$14)/12</f>
        <v>7952.492589863369</v>
      </c>
      <c r="H31" s="4" t="str">
        <f>IF(D31&gt;=Configuração!$B$18,"1º MILHÃO ALCANÇADO!","Acumulando...")</f>
        <v>1º MILHÃO ALCANÇADO!</v>
      </c>
    </row>
    <row r="32" ht="20" customHeight="1" spans="1:8" x14ac:dyDescent="0.25">
      <c r="A32" s="17">
        <v>27</v>
      </c>
      <c r="B32" s="22">
        <f>Configuração!$B$5+A32</f>
        <v>2053</v>
      </c>
      <c r="C32" s="20">
        <f>Configuração!$B$16+(Configuração!$B$17*12*A32)</f>
        <v>575800</v>
      </c>
      <c r="D32" s="14">
        <f>D31*(1+Configuração!$B$11)+(Configuração!$B$17*12)</f>
        <v>3988351.7543800613</v>
      </c>
      <c r="E32" s="20">
        <f>D32-C32</f>
        <v>3412551.7543800613</v>
      </c>
      <c r="F32" s="14">
        <f>F31*(1+Configuração!$B$13)+(Configuração!$B$17*12)</f>
        <v>1725049.1293104258</v>
      </c>
      <c r="G32" s="14">
        <f>(F32*Configuração!$B$14)/12</f>
        <v>8625.24564655213</v>
      </c>
      <c r="H32" s="4" t="str">
        <f>IF(D32&gt;=Configuração!$B$18,"1º MILHÃO ALCANÇADO!","Acumulando...")</f>
        <v>1º MILHÃO ALCANÇADO!</v>
      </c>
    </row>
    <row r="33" ht="20" customHeight="1" spans="1:8" x14ac:dyDescent="0.25">
      <c r="A33" s="17">
        <v>28</v>
      </c>
      <c r="B33" s="22">
        <f>Configuração!$B$5+A33</f>
        <v>2054</v>
      </c>
      <c r="C33" s="20">
        <f>Configuração!$B$16+(Configuração!$B$17*12*A33)</f>
        <v>596200</v>
      </c>
      <c r="D33" s="14">
        <f>D32*(1+Configuração!$B$11)+(Configuração!$B$17*12)</f>
        <v>4487353.964905669</v>
      </c>
      <c r="E33" s="20">
        <f>D33-C33</f>
        <v>3891153.964905669</v>
      </c>
      <c r="F33" s="14">
        <f>F32*(1+Configuração!$B$13)+(Configuração!$B$17*12)</f>
        <v>1869256.4830886866</v>
      </c>
      <c r="G33" s="14">
        <f>(F33*Configuração!$B$14)/12</f>
        <v>9346.282415443433</v>
      </c>
      <c r="H33" s="4" t="str">
        <f>IF(D33&gt;=Configuração!$B$18,"1º MILHÃO ALCANÇADO!","Acumulando...")</f>
        <v>1º MILHÃO ALCANÇADO!</v>
      </c>
    </row>
    <row r="34" ht="20" customHeight="1" spans="1:8" x14ac:dyDescent="0.25">
      <c r="A34" s="17">
        <v>29</v>
      </c>
      <c r="B34" s="22">
        <f>Configuração!$B$5+A34</f>
        <v>2055</v>
      </c>
      <c r="C34" s="20">
        <f>Configuração!$B$16+(Configuração!$B$17*12*A34)</f>
        <v>616600</v>
      </c>
      <c r="D34" s="14">
        <f>D33*(1+Configuração!$B$11)+(Configuração!$B$17*12)</f>
        <v>5046236.44069435</v>
      </c>
      <c r="E34" s="20">
        <f>D34-C34</f>
        <v>4429636.44069435</v>
      </c>
      <c r="F34" s="14">
        <f>F33*(1+Configuração!$B$13)+(Configuração!$B$17*12)</f>
        <v>2023813.6469467268</v>
      </c>
      <c r="G34" s="14">
        <f>(F34*Configuração!$B$14)/12</f>
        <v>10119.068234733633</v>
      </c>
      <c r="H34" s="4" t="str">
        <f>IF(D34&gt;=Configuração!$B$18,"1º MILHÃO ALCANÇADO!","Acumulando...")</f>
        <v>1º MILHÃO ALCANÇADO!</v>
      </c>
    </row>
    <row r="35" ht="20" customHeight="1" spans="1:8" x14ac:dyDescent="0.25">
      <c r="A35" s="17">
        <v>30</v>
      </c>
      <c r="B35" s="22">
        <f>Configuração!$B$5+A35</f>
        <v>2056</v>
      </c>
      <c r="C35" s="20">
        <f>Configuração!$B$16+(Configuração!$B$17*12*A35)</f>
        <v>637000</v>
      </c>
      <c r="D35" s="14">
        <f>D34*(1+Configuração!$B$11)+(Configuração!$B$17*12)</f>
        <v>5672184.8135776725</v>
      </c>
      <c r="E35" s="20">
        <f>D35-C35</f>
        <v>5035184.8135776725</v>
      </c>
      <c r="F35" s="14">
        <f>F34*(1+Configuração!$B$13)+(Configuração!$B$17*12)</f>
        <v>2189463.430220416</v>
      </c>
      <c r="G35" s="14">
        <f>(F35*Configuração!$B$14)/12</f>
        <v>10947.31715110208</v>
      </c>
      <c r="H35" s="4" t="str">
        <f>IF(D35&gt;=Configuração!$B$18,"1º MILHÃO ALCANÇADO!","Acumulando...")</f>
        <v>1º MILHÃO ALCANÇADO!</v>
      </c>
    </row>
  </sheetData>
  <sheetProtection sheet="1" formatColumns="0" formatRows="0" autoFilter="0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Comece Aqui</vt:lpstr>
      <vt:lpstr>Configuração</vt:lpstr>
      <vt:lpstr>Lançamentos</vt:lpstr>
      <vt:lpstr>Painel do Mês</vt:lpstr>
      <vt:lpstr>Ano (12 Meses)</vt:lpstr>
      <vt:lpstr>Reserva de Emergência</vt:lpstr>
      <vt:lpstr>Metas Financeiras</vt:lpstr>
      <vt:lpstr>Rumo ao 1º Milhão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 Investimentos (abcinvestimentos.com.br)</dc:creator>
  <dc:title/>
  <dc:subject/>
  <dc:description/>
  <cp:keywords/>
  <cp:category/>
  <cp:lastModifiedBy>ABC Investimentos</cp:lastModifiedBy>
  <dcterms:created xsi:type="dcterms:W3CDTF">2026-10-25T12:00:00Z</dcterms:created>
  <dcterms:modified xsi:type="dcterms:W3CDTF">2026-10-25T12:00:00Z</dcterms:modified>
</cp:coreProperties>
</file>